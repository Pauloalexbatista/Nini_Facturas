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/>
  <workbookPr/>
  <mc:AlternateContent xmlns:mc="http://schemas.openxmlformats.org/markup-compatibility/2006">
    <mc:Choice Requires="x15">
      <x15ac:absPath xmlns:x15ac="http://schemas.microsoft.com/office/spreadsheetml/2010/11/ac" url="https://d.docs.live.net/9fa7c1875aec4cdf/Área de Trabalho/"/>
    </mc:Choice>
  </mc:AlternateContent>
  <xr:revisionPtr revIDLastSave="104" documentId="8_{581A8A46-35CD-4CF6-84D9-05E269C3FF9A}" xr6:coauthVersionLast="47" xr6:coauthVersionMax="47" xr10:uidLastSave="{8B3CED22-0D2A-451A-964B-860745DDEADE}"/>
  <bookViews>
    <workbookView xWindow="-120" yWindow="-120" windowWidth="29040" windowHeight="15720" activeTab="1" xr2:uid="{00000000-000D-0000-FFFF-FFFF00000000}"/>
  </bookViews>
  <sheets>
    <sheet name="Contas" sheetId="2" r:id="rId1"/>
    <sheet name="Notas" sheetId="1" r:id="rId2"/>
    <sheet name="Folha1" sheetId="3" r:id="rId3"/>
  </sheets>
  <definedNames>
    <definedName name="_xlnm._FilterDatabase" localSheetId="1" hidden="1">Notas!$A$121:$F$121</definedName>
    <definedName name="_xlnm.Print_Area" localSheetId="1">Notas!$A$1:$F$233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" l="1"/>
  <c r="D4" i="2"/>
  <c r="D5" i="2"/>
  <c r="D6" i="2"/>
  <c r="D7" i="2"/>
  <c r="D8" i="2"/>
  <c r="D9" i="2"/>
  <c r="D10" i="2"/>
  <c r="D11" i="2"/>
  <c r="D3" i="2"/>
  <c r="D13" i="2" l="1"/>
  <c r="D14" i="2" s="1"/>
  <c r="D15" i="2" l="1"/>
</calcChain>
</file>

<file path=xl/sharedStrings.xml><?xml version="1.0" encoding="utf-8"?>
<sst xmlns="http://schemas.openxmlformats.org/spreadsheetml/2006/main" count="333" uniqueCount="248">
  <si>
    <t>Config</t>
  </si>
  <si>
    <t>Tab gestão Comercial</t>
  </si>
  <si>
    <t>Artigos</t>
  </si>
  <si>
    <t>Data de hoje!! No dia que começamos a trabalhar e o dia que os camiões Chegam com o material!</t>
  </si>
  <si>
    <t>Meus Documentos</t>
  </si>
  <si>
    <t>Entradas</t>
  </si>
  <si>
    <t>CTRL + INS = nova ficha/entrada/movimento</t>
  </si>
  <si>
    <t>Empresa</t>
  </si>
  <si>
    <t>ALTERAR A DATA</t>
  </si>
  <si>
    <t xml:space="preserve">CC CLIENTES </t>
  </si>
  <si>
    <t>DOCUMENTOS</t>
  </si>
  <si>
    <t>RECEBIMENTOS DE CLIENTES NACIONAIS</t>
  </si>
  <si>
    <t>Abrir quadro</t>
  </si>
  <si>
    <t>CTRL+INS = Novo</t>
  </si>
  <si>
    <t>Buscar clientes</t>
  </si>
  <si>
    <t>Para transferencias a conta de contrapartida = 1201</t>
  </si>
  <si>
    <t>Ordenar os documentos deste cliente por data</t>
  </si>
  <si>
    <t>valor pago -&gt; ir passando as facturas para o ecran da esquerda até fazer o valor</t>
  </si>
  <si>
    <t>Gravar + CTRL+P para imprimir</t>
  </si>
  <si>
    <t>A Janela dos recibos fica sempre aberta!</t>
  </si>
  <si>
    <t>Pegar nas folhas de transferencias recebidas dos bancos</t>
  </si>
  <si>
    <t>Meus Docs</t>
  </si>
  <si>
    <t>Vendas</t>
  </si>
  <si>
    <t>COD 60</t>
  </si>
  <si>
    <t>COD TPO</t>
  </si>
  <si>
    <t>Nini Peixe</t>
  </si>
  <si>
    <t>armazéns = OK</t>
  </si>
  <si>
    <t>Entradas Stock :</t>
  </si>
  <si>
    <t>Confirmar Armazém :</t>
  </si>
  <si>
    <t>Seleccionar armazém = 1</t>
  </si>
  <si>
    <t>Documentos</t>
  </si>
  <si>
    <t>CRÉDITOS DE CLIENTES</t>
  </si>
  <si>
    <t>Pagamento a conta:
No caso de ser um valor certo - pode ser para pagar só uma parte das facturas - colocar esse valor no campo do canto superior direito e continuar o processo até esse valor
MAFRIPEIXE
Banco Totta = ELOGIOS</t>
  </si>
  <si>
    <t>Folhas de transferencias recebidas de clientes</t>
  </si>
  <si>
    <t>Abrir o e-mail e imprimir as facturas dos fornecedores</t>
  </si>
  <si>
    <t>(manter a esquerda no ecran)</t>
  </si>
  <si>
    <t>Venda manual = Kg x Preço + 6%</t>
  </si>
  <si>
    <t>No Fim da noite fazemos uma venda a dinheiro com todas as vendas manuais</t>
  </si>
  <si>
    <t>Só assinar - não é necessário imprimir</t>
  </si>
  <si>
    <t>Ligar PC no ArtSoft</t>
  </si>
  <si>
    <t xml:space="preserve">Relatórios </t>
  </si>
  <si>
    <t>Conta</t>
  </si>
  <si>
    <t>pasta anterior</t>
  </si>
  <si>
    <t>Cl Inicial = 1191 / 1201</t>
  </si>
  <si>
    <t>Cl Final = 1191 / 1201</t>
  </si>
  <si>
    <t>Fazer 2x - para o CL 1191 e para o CL 1201</t>
  </si>
  <si>
    <t>Imprimir Relatorios :</t>
  </si>
  <si>
    <t>Data = hoje ok</t>
  </si>
  <si>
    <t>ir para o ultimo</t>
  </si>
  <si>
    <t>Inserir</t>
  </si>
  <si>
    <t>Conta 1201</t>
  </si>
  <si>
    <t>Numero = (ultimo + 1 ) / 26</t>
  </si>
  <si>
    <t>Duplo clique</t>
  </si>
  <si>
    <t>Selecionar todos</t>
  </si>
  <si>
    <t>OK - Gravar - Ctrl+P</t>
  </si>
  <si>
    <t>1 - Tesouraria - São 2 relatorios</t>
  </si>
  <si>
    <t>2 - Movimento de Depositos</t>
  </si>
  <si>
    <t>Relatorios</t>
  </si>
  <si>
    <t>Aceitar os campos</t>
  </si>
  <si>
    <t>Alterar data</t>
  </si>
  <si>
    <t>Imprimir</t>
  </si>
  <si>
    <t>Relatórios</t>
  </si>
  <si>
    <t>Agregações</t>
  </si>
  <si>
    <t>Pasta anterior</t>
  </si>
  <si>
    <t>Agrupações detalhadas</t>
  </si>
  <si>
    <t>NaniPeixe_artigoFornecedores_Listagem (de dia 25/10)</t>
  </si>
  <si>
    <t>Aceitar tudo até OK</t>
  </si>
  <si>
    <t>Pré-Visualisar</t>
  </si>
  <si>
    <t>colocar as datas do mesmo dia - dia Facturação</t>
  </si>
  <si>
    <t>Ctrl + P - Enviar para a impressora 431</t>
  </si>
  <si>
    <t>Lançar Facturas :</t>
  </si>
  <si>
    <t>Alterar a folha de ontem com a contagem de hoje</t>
  </si>
  <si>
    <t>Apagar os que estão a 0</t>
  </si>
  <si>
    <t>Adicionar novos</t>
  </si>
  <si>
    <t>Alterar valores dos existentes</t>
  </si>
  <si>
    <t>Ficheiro "GELO" :</t>
  </si>
  <si>
    <t>Guardar os emails nas respectivas pastas</t>
  </si>
  <si>
    <t>Analisar o conteudo das facturas e acrescentar aos stocks - para depois dar entrada</t>
  </si>
  <si>
    <t>Opção Permitir Stocks negativos = NÃO</t>
  </si>
  <si>
    <t xml:space="preserve"> Guia de remessa :</t>
  </si>
  <si>
    <t>Lote + data - se lote tiver só 2 digitos, colocar 0 no inicio</t>
  </si>
  <si>
    <t>COD MOF</t>
  </si>
  <si>
    <t>Para transferencias de cheques = 1191</t>
  </si>
  <si>
    <t>Estratos de conta:</t>
  </si>
  <si>
    <t>cc clientes</t>
  </si>
  <si>
    <t>listagen de clientes não saldados</t>
  </si>
  <si>
    <t>Pagina anterior</t>
  </si>
  <si>
    <t>baixar a página</t>
  </si>
  <si>
    <t>Procurar DOC de 28/12</t>
  </si>
  <si>
    <t xml:space="preserve">Conta ( + ) Procurar nome </t>
  </si>
  <si>
    <t>nome do cliente</t>
  </si>
  <si>
    <t>Selecionar extrato de conta totais mensais</t>
  </si>
  <si>
    <t>Abrir Doc de 29/12</t>
  </si>
  <si>
    <t>Pagamentos a dinheiro e cheques
Factura / Recibos</t>
  </si>
  <si>
    <t>Doc Fich02-NiniFactVD - Doc 04/01</t>
  </si>
  <si>
    <t>Código</t>
  </si>
  <si>
    <t>BB</t>
  </si>
  <si>
    <t>The Big Blue</t>
  </si>
  <si>
    <t>Nome como sistema</t>
  </si>
  <si>
    <t>EUR</t>
  </si>
  <si>
    <t>FR</t>
  </si>
  <si>
    <t>LV</t>
  </si>
  <si>
    <t>FM</t>
  </si>
  <si>
    <t>MI</t>
  </si>
  <si>
    <t>TM</t>
  </si>
  <si>
    <t>Euromar</t>
  </si>
  <si>
    <t>Frime</t>
  </si>
  <si>
    <t>Live Fish</t>
  </si>
  <si>
    <t>Furick Maré</t>
  </si>
  <si>
    <t>Mar Import</t>
  </si>
  <si>
    <t>Aquanaria</t>
  </si>
  <si>
    <t>ST</t>
  </si>
  <si>
    <t>VBV</t>
  </si>
  <si>
    <t>MH</t>
  </si>
  <si>
    <t>FI</t>
  </si>
  <si>
    <t>SOM</t>
  </si>
  <si>
    <t>Stolt Sea Farm</t>
  </si>
  <si>
    <t>Casa Somorostro</t>
  </si>
  <si>
    <t>END</t>
  </si>
  <si>
    <t>Ender</t>
  </si>
  <si>
    <t>BAR</t>
  </si>
  <si>
    <t>PG</t>
  </si>
  <si>
    <t>El Pescador Gigante</t>
  </si>
  <si>
    <t>Tabela de fornecedores INTERNATIONAL</t>
  </si>
  <si>
    <t>LUB</t>
  </si>
  <si>
    <t>Pescarias Lubimar</t>
  </si>
  <si>
    <t>AP</t>
  </si>
  <si>
    <t>PA</t>
  </si>
  <si>
    <t>PR</t>
  </si>
  <si>
    <t>NAS</t>
  </si>
  <si>
    <t>PP</t>
  </si>
  <si>
    <t>IS</t>
  </si>
  <si>
    <t>BA</t>
  </si>
  <si>
    <t>MO</t>
  </si>
  <si>
    <t>MOF</t>
  </si>
  <si>
    <t>Aquaprime</t>
  </si>
  <si>
    <t>Pesca Algarve</t>
  </si>
  <si>
    <t>Viveiros …...... Espargueira</t>
  </si>
  <si>
    <t>Figueira Fish</t>
  </si>
  <si>
    <t>Porti Pesca</t>
  </si>
  <si>
    <t>Isidro Martins</t>
  </si>
  <si>
    <t>Baía Aventureira</t>
  </si>
  <si>
    <t>Merco Oceanic</t>
  </si>
  <si>
    <t>Mofarpeixe</t>
  </si>
  <si>
    <t>SLE</t>
  </si>
  <si>
    <t>RA</t>
  </si>
  <si>
    <t>SR</t>
  </si>
  <si>
    <t>OMN</t>
  </si>
  <si>
    <t>Venda a dinheiro :</t>
  </si>
  <si>
    <t>Documentos -&gt; Meus Documentos -&gt; Entradas</t>
  </si>
  <si>
    <t>Acerto de Stocks - Correção E080</t>
  </si>
  <si>
    <t>Cliente = 99998</t>
  </si>
  <si>
    <t>Opção Permitir Stocks negativos = SIM - para poder acertar Stocks</t>
  </si>
  <si>
    <t>Trabalhar com o sistema que diz LOCAL</t>
  </si>
  <si>
    <t>1 - EMAIL</t>
  </si>
  <si>
    <t>2 - ENTRADAS DE STOCKS</t>
  </si>
  <si>
    <t>3 - RECIBOS</t>
  </si>
  <si>
    <t>4 - Facturar</t>
  </si>
  <si>
    <t>5 - Escritório</t>
  </si>
  <si>
    <t>\\*Nini%+123!</t>
  </si>
  <si>
    <t>Sistema: PBATISTA - Pb10,,,,,,,</t>
  </si>
  <si>
    <r>
      <t xml:space="preserve">Abrir Bloco de notas e colocar </t>
    </r>
    <r>
      <rPr>
        <b/>
        <sz val="10"/>
        <color theme="1"/>
        <rFont val="Calibri"/>
        <family val="2"/>
        <scheme val="minor"/>
      </rPr>
      <t>a data de amanhã</t>
    </r>
    <r>
      <rPr>
        <sz val="10"/>
        <color theme="1"/>
        <rFont val="Calibri"/>
        <family val="2"/>
        <scheme val="minor"/>
      </rPr>
      <t xml:space="preserve"> - do dia que vamos fazer a facturação - 
para usar nos lotes</t>
    </r>
  </si>
  <si>
    <t>NºE170 = Intra comunitárias - Colocar no lado esquerdo - manter aberta</t>
  </si>
  <si>
    <t>NºE160 = Nacional - colocar do lado Direito  - Manter aberta</t>
  </si>
  <si>
    <t>No fim de dar entradas, alterar a data do programa para o dia seguinte para Facturar!
MUITO IMPORTANTE</t>
  </si>
  <si>
    <t>Data de Trabalho - Alterar para a data a facturar</t>
  </si>
  <si>
    <t>Facturas - V100</t>
  </si>
  <si>
    <t>Facturas num envelope - Somar numero de caixas + os Kilos e escrever no envelope
Estas Facturas têm prioridade - &gt; são para o transportador -&gt; Algarve e Alentejo</t>
  </si>
  <si>
    <t>Facturas + Recibo - FN103</t>
  </si>
  <si>
    <t>Cliente = 100 = Consumidor final</t>
  </si>
  <si>
    <t>Stocks em falta para facturar:</t>
  </si>
  <si>
    <t>3 - Vendas a dinheiro</t>
  </si>
  <si>
    <t>4 - Agregações</t>
  </si>
  <si>
    <t>Modificar Stocks 
de negativo
para positivo</t>
  </si>
  <si>
    <t>Pescarias Lubimar - UNO</t>
  </si>
  <si>
    <t>Congelados Barrufat</t>
  </si>
  <si>
    <t>Volanda</t>
  </si>
  <si>
    <t>Marine Harvest - MOWI</t>
  </si>
  <si>
    <t>Fioritale</t>
  </si>
  <si>
    <t>Sociedade Luso Espanhola</t>
  </si>
  <si>
    <t>Reino D'agua</t>
  </si>
  <si>
    <t>Susana Rendilheiro</t>
  </si>
  <si>
    <t>Omnifish</t>
  </si>
  <si>
    <t>Elogios do Oceano</t>
  </si>
  <si>
    <t>AQU</t>
  </si>
  <si>
    <t>ELO</t>
  </si>
  <si>
    <t>COD</t>
  </si>
  <si>
    <t>ABRV</t>
  </si>
  <si>
    <t>C / ACE / DR / D</t>
  </si>
  <si>
    <t>Ajuda das caracteristicas para dar entradas :</t>
  </si>
  <si>
    <t>Caracteristicas</t>
  </si>
  <si>
    <t>Fornecedores</t>
  </si>
  <si>
    <t>0ATUC</t>
  </si>
  <si>
    <t>0ATUV</t>
  </si>
  <si>
    <t>Capturado</t>
  </si>
  <si>
    <t>Atlantico Centro Este</t>
  </si>
  <si>
    <t>Redes Cercar</t>
  </si>
  <si>
    <t>Descongelado</t>
  </si>
  <si>
    <t>LIM</t>
  </si>
  <si>
    <t>A / E / F</t>
  </si>
  <si>
    <t>Aquacultura</t>
  </si>
  <si>
    <t>Espanha</t>
  </si>
  <si>
    <t>Fresco</t>
  </si>
  <si>
    <t>DO</t>
  </si>
  <si>
    <t>RO</t>
  </si>
  <si>
    <t>A / P / F</t>
  </si>
  <si>
    <t>CHOCOS</t>
  </si>
  <si>
    <t>C  / NA / RE / F</t>
  </si>
  <si>
    <t>Atlantico Nordeste</t>
  </si>
  <si>
    <t>Redes Emalhar</t>
  </si>
  <si>
    <t>OSTRAS</t>
  </si>
  <si>
    <t>C / RA / F</t>
  </si>
  <si>
    <t>Ria Aveiro</t>
  </si>
  <si>
    <t>Clientes para o Nuno levar</t>
  </si>
  <si>
    <t>AMATERASU</t>
  </si>
  <si>
    <t>SUSHI NO KAISHA</t>
  </si>
  <si>
    <t>VALOR</t>
  </si>
  <si>
    <t>QTD KG</t>
  </si>
  <si>
    <t>Total</t>
  </si>
  <si>
    <t>#</t>
  </si>
  <si>
    <t>Sub-Total :</t>
  </si>
  <si>
    <t>IVA :</t>
  </si>
  <si>
    <t>TOTAL :</t>
  </si>
  <si>
    <t>AV</t>
  </si>
  <si>
    <t>Fornecedor</t>
  </si>
  <si>
    <t>Ro03</t>
  </si>
  <si>
    <t>Ro04</t>
  </si>
  <si>
    <t>Do03</t>
  </si>
  <si>
    <t>Do04</t>
  </si>
  <si>
    <t>Peixe</t>
  </si>
  <si>
    <t>Cx</t>
  </si>
  <si>
    <t>Kg</t>
  </si>
  <si>
    <t>VEL</t>
  </si>
  <si>
    <t>Velomar</t>
  </si>
  <si>
    <t>SEA8 - Aquacria Piscicolas</t>
  </si>
  <si>
    <t>PAL</t>
  </si>
  <si>
    <t>Palipeixe</t>
  </si>
  <si>
    <t>MCA</t>
  </si>
  <si>
    <t>Maria Custódia Alves &amp; Filhos</t>
  </si>
  <si>
    <t>LS</t>
  </si>
  <si>
    <t>Luis Silvério</t>
  </si>
  <si>
    <t>CONS</t>
  </si>
  <si>
    <t>Nacional / Internacional / Países Terceiros</t>
  </si>
  <si>
    <t>GS</t>
  </si>
  <si>
    <t>Grieg Seafood</t>
  </si>
  <si>
    <t>INT - Internacionais</t>
  </si>
  <si>
    <t>NAC - Nacionais</t>
  </si>
  <si>
    <t>TER - Países Terceiros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</si>
</sst>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€-2]\ * #,##0.00_-;\-[$€-2]\ * #,##0.00_-;_-[$€-2]\ * &quot;-&quot;??_-;_-@_-"/>
  </numFmts>
  <fonts count="8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3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left" vertical="center" wrapText="1"/>
    </xf>
    <xf numFmtId="0" fontId="5" fillId="0" borderId="0" xfId="0" applyFont="1"/>
    <xf numFmtId="0" fontId="5" fillId="2" borderId="6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14" xfId="0" applyFont="1" applyFill="1" applyBorder="1" applyAlignment="1">
      <alignment horizontal="center"/>
    </xf>
    <xf numFmtId="2" fontId="5" fillId="2" borderId="0" xfId="0" applyNumberFormat="1" applyFont="1" applyFill="1"/>
    <xf numFmtId="164" fontId="5" fillId="2" borderId="0" xfId="0" applyNumberFormat="1" applyFont="1" applyFill="1"/>
    <xf numFmtId="164" fontId="5" fillId="2" borderId="14" xfId="0" applyNumberFormat="1" applyFont="1" applyFill="1" applyBorder="1"/>
    <xf numFmtId="0" fontId="5" fillId="2" borderId="0" xfId="0" applyFont="1" applyFill="1"/>
    <xf numFmtId="164" fontId="6" fillId="2" borderId="14" xfId="0" applyNumberFormat="1" applyFont="1" applyFill="1" applyBorder="1"/>
    <xf numFmtId="9" fontId="5" fillId="2" borderId="0" xfId="0" applyNumberFormat="1" applyFont="1" applyFill="1" applyAlignment="1">
      <alignment horizontal="center"/>
    </xf>
    <xf numFmtId="164" fontId="5" fillId="2" borderId="9" xfId="0" applyNumberFormat="1" applyFont="1" applyFill="1" applyBorder="1"/>
    <xf numFmtId="0" fontId="1" fillId="2" borderId="0" xfId="0" applyFont="1" applyFill="1" applyAlignment="1">
      <alignment vertical="center" wrapText="1"/>
    </xf>
    <xf numFmtId="0" fontId="2" fillId="2" borderId="0" xfId="0" applyFont="1" applyFill="1" applyAlignment="1">
      <alignment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 wrapText="1"/>
    </xf>
    <xf numFmtId="0" fontId="2" fillId="2" borderId="11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 wrapText="1"/>
    </xf>
    <xf numFmtId="0" fontId="2" fillId="2" borderId="13" xfId="0" applyFont="1" applyFill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vertical="center" wrapText="1"/>
    </xf>
    <xf numFmtId="9" fontId="2" fillId="2" borderId="10" xfId="0" applyNumberFormat="1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vertical="center" wrapText="1"/>
    </xf>
    <xf numFmtId="0" fontId="2" fillId="2" borderId="25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7" fillId="0" borderId="0" xfId="0" applyFont="1"/>
    <xf numFmtId="0" fontId="0" fillId="0" borderId="0" xfId="0" applyAlignment="1">
      <alignment horizontal="center"/>
    </xf>
    <xf numFmtId="0" fontId="5" fillId="2" borderId="7" xfId="0" applyFont="1" applyFill="1" applyBorder="1" applyAlignment="1">
      <alignment horizontal="right"/>
    </xf>
    <xf numFmtId="0" fontId="5" fillId="2" borderId="8" xfId="0" applyFont="1" applyFill="1" applyBorder="1" applyAlignment="1">
      <alignment horizontal="right"/>
    </xf>
    <xf numFmtId="0" fontId="5" fillId="2" borderId="6" xfId="0" applyFont="1" applyFill="1" applyBorder="1" applyAlignment="1">
      <alignment horizontal="right"/>
    </xf>
    <xf numFmtId="0" fontId="5" fillId="2" borderId="0" xfId="0" applyFont="1" applyFill="1" applyAlignment="1">
      <alignment horizontal="right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2" fillId="2" borderId="28" xfId="0" applyFont="1" applyFill="1" applyBorder="1" applyAlignment="1">
      <alignment horizontal="left" vertical="center" wrapText="1"/>
    </xf>
    <xf numFmtId="0" fontId="2" fillId="2" borderId="23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left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1" fillId="2" borderId="22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2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left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2" fillId="2" borderId="20" xfId="0" applyFont="1" applyFill="1" applyBorder="1" applyAlignment="1">
      <alignment horizontal="left" vertical="center" wrapText="1"/>
    </xf>
    <xf numFmtId="0" fontId="2" fillId="2" borderId="4" xfId="0" applyFont="1" applyFill="1" applyBorder="1" applyAlignment="1">
      <alignment horizontal="left" vertical="center" wrapText="1"/>
    </xf>
    <xf numFmtId="0" fontId="2" fillId="2" borderId="5" xfId="0" applyFont="1" applyFill="1" applyBorder="1" applyAlignment="1">
      <alignment horizontal="left" vertical="center" wrapText="1"/>
    </xf>
    <xf numFmtId="0" fontId="2" fillId="2" borderId="14" xfId="0" applyFont="1" applyFill="1" applyBorder="1" applyAlignment="1">
      <alignment horizontal="left" vertical="center" wrapText="1"/>
    </xf>
    <xf numFmtId="0" fontId="2" fillId="2" borderId="21" xfId="0" applyFont="1" applyFill="1" applyBorder="1" applyAlignment="1">
      <alignment horizontal="left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left" vertical="center" wrapText="1"/>
    </xf>
    <xf numFmtId="0" fontId="2" fillId="2" borderId="15" xfId="0" applyFont="1" applyFill="1" applyBorder="1" applyAlignment="1">
      <alignment horizontal="left" vertical="center" wrapText="1"/>
    </xf>
    <xf numFmtId="0" fontId="2" fillId="2" borderId="13" xfId="0" applyFont="1" applyFill="1" applyBorder="1" applyAlignment="1">
      <alignment horizontal="left" vertical="center" wrapText="1"/>
    </xf>
    <xf numFmtId="0" fontId="2" fillId="2" borderId="16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6438D-9E0A-4C6E-A22D-4B7A03A7FA67}">
  <sheetPr>
    <tabColor rgb="FFFFFF00"/>
  </sheetPr>
  <dimension ref="A1:D15"/>
  <sheetViews>
    <sheetView zoomScale="145" zoomScaleNormal="145" workbookViewId="0">
      <selection sqref="A1:D1"/>
    </sheetView>
  </sheetViews>
  <sheetFormatPr defaultRowHeight="15.75" x14ac:dyDescent="0.25"/>
  <cols>
    <col min="1" max="1" width="3.28515625" style="7" bestFit="1" customWidth="1"/>
    <col min="2" max="2" width="8.28515625" style="7" bestFit="1" customWidth="1"/>
    <col min="3" max="3" width="10.42578125" style="7" bestFit="1" customWidth="1"/>
    <col min="4" max="4" width="13.42578125" style="7" bestFit="1" customWidth="1"/>
    <col min="5" max="5" width="5.140625" style="7" customWidth="1"/>
    <col min="6" max="16384" width="9.140625" style="7"/>
  </cols>
  <sheetData>
    <row r="1" spans="1:4" x14ac:dyDescent="0.25">
      <c r="A1" s="39" t="s">
        <v>25</v>
      </c>
      <c r="B1" s="40"/>
      <c r="C1" s="40"/>
      <c r="D1" s="41"/>
    </row>
    <row r="2" spans="1:4" x14ac:dyDescent="0.25">
      <c r="A2" s="8" t="s">
        <v>219</v>
      </c>
      <c r="B2" s="9" t="s">
        <v>217</v>
      </c>
      <c r="C2" s="9" t="s">
        <v>216</v>
      </c>
      <c r="D2" s="10" t="s">
        <v>218</v>
      </c>
    </row>
    <row r="3" spans="1:4" x14ac:dyDescent="0.25">
      <c r="A3" s="8">
        <v>1</v>
      </c>
      <c r="B3" s="11"/>
      <c r="C3" s="12"/>
      <c r="D3" s="13">
        <f>B3*C3</f>
        <v>0</v>
      </c>
    </row>
    <row r="4" spans="1:4" x14ac:dyDescent="0.25">
      <c r="A4" s="8">
        <v>2</v>
      </c>
      <c r="B4" s="11"/>
      <c r="C4" s="12"/>
      <c r="D4" s="13">
        <f t="shared" ref="D4:D12" si="0">B4*C4</f>
        <v>0</v>
      </c>
    </row>
    <row r="5" spans="1:4" x14ac:dyDescent="0.25">
      <c r="A5" s="8">
        <v>3</v>
      </c>
      <c r="B5" s="11"/>
      <c r="C5" s="12"/>
      <c r="D5" s="13">
        <f t="shared" si="0"/>
        <v>0</v>
      </c>
    </row>
    <row r="6" spans="1:4" x14ac:dyDescent="0.25">
      <c r="A6" s="8">
        <v>4</v>
      </c>
      <c r="B6" s="11"/>
      <c r="C6" s="12"/>
      <c r="D6" s="13">
        <f t="shared" si="0"/>
        <v>0</v>
      </c>
    </row>
    <row r="7" spans="1:4" x14ac:dyDescent="0.25">
      <c r="A7" s="8">
        <v>5</v>
      </c>
      <c r="B7" s="11"/>
      <c r="C7" s="12"/>
      <c r="D7" s="13">
        <f t="shared" si="0"/>
        <v>0</v>
      </c>
    </row>
    <row r="8" spans="1:4" x14ac:dyDescent="0.25">
      <c r="A8" s="8">
        <v>6</v>
      </c>
      <c r="B8" s="11"/>
      <c r="C8" s="12"/>
      <c r="D8" s="13">
        <f t="shared" si="0"/>
        <v>0</v>
      </c>
    </row>
    <row r="9" spans="1:4" x14ac:dyDescent="0.25">
      <c r="A9" s="8">
        <v>7</v>
      </c>
      <c r="B9" s="11"/>
      <c r="C9" s="12"/>
      <c r="D9" s="13">
        <f t="shared" si="0"/>
        <v>0</v>
      </c>
    </row>
    <row r="10" spans="1:4" x14ac:dyDescent="0.25">
      <c r="A10" s="8">
        <v>8</v>
      </c>
      <c r="B10" s="11"/>
      <c r="C10" s="12"/>
      <c r="D10" s="13">
        <f t="shared" si="0"/>
        <v>0</v>
      </c>
    </row>
    <row r="11" spans="1:4" x14ac:dyDescent="0.25">
      <c r="A11" s="8">
        <v>9</v>
      </c>
      <c r="B11" s="11"/>
      <c r="C11" s="12"/>
      <c r="D11" s="13">
        <f t="shared" si="0"/>
        <v>0</v>
      </c>
    </row>
    <row r="12" spans="1:4" x14ac:dyDescent="0.25">
      <c r="A12" s="8">
        <v>10</v>
      </c>
      <c r="B12" s="14"/>
      <c r="C12" s="14"/>
      <c r="D12" s="13">
        <f t="shared" si="0"/>
        <v>0</v>
      </c>
    </row>
    <row r="13" spans="1:4" x14ac:dyDescent="0.25">
      <c r="A13" s="37" t="s">
        <v>220</v>
      </c>
      <c r="B13" s="38"/>
      <c r="C13" s="38"/>
      <c r="D13" s="15">
        <f>SUM(D3:D12)</f>
        <v>0</v>
      </c>
    </row>
    <row r="14" spans="1:4" x14ac:dyDescent="0.25">
      <c r="A14" s="37" t="s">
        <v>221</v>
      </c>
      <c r="B14" s="38"/>
      <c r="C14" s="16">
        <v>0.06</v>
      </c>
      <c r="D14" s="15">
        <f>D13*C14</f>
        <v>0</v>
      </c>
    </row>
    <row r="15" spans="1:4" ht="16.5" thickBot="1" x14ac:dyDescent="0.3">
      <c r="A15" s="35" t="s">
        <v>222</v>
      </c>
      <c r="B15" s="36"/>
      <c r="C15" s="36"/>
      <c r="D15" s="17">
        <f>D13+D14</f>
        <v>0</v>
      </c>
    </row>
  </sheetData>
  <mergeCells count="4">
    <mergeCell ref="A15:C15"/>
    <mergeCell ref="A14:B14"/>
    <mergeCell ref="A13:C13"/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C000"/>
  </sheetPr>
  <dimension ref="A1:H233"/>
  <sheetViews>
    <sheetView tabSelected="1" view="pageBreakPreview" topLeftCell="A132" zoomScale="145" zoomScaleNormal="115" zoomScaleSheetLayoutView="145" workbookViewId="0">
      <selection activeCell="A120" sqref="A120:F158"/>
    </sheetView>
  </sheetViews>
  <sheetFormatPr defaultColWidth="5.42578125" defaultRowHeight="12.75" x14ac:dyDescent="0.25"/>
  <cols>
    <col min="1" max="1" width="4.42578125" style="2" bestFit="1" customWidth="1"/>
    <col min="2" max="2" width="5" style="2" bestFit="1" customWidth="1"/>
    <col min="3" max="3" width="6.42578125" style="4" bestFit="1" customWidth="1"/>
    <col min="4" max="4" width="35.85546875" style="2" bestFit="1" customWidth="1"/>
    <col min="5" max="5" width="34.28515625" style="2" bestFit="1" customWidth="1"/>
    <col min="6" max="6" width="5.42578125" style="4" bestFit="1" customWidth="1"/>
    <col min="7" max="16384" width="5.42578125" style="2"/>
  </cols>
  <sheetData>
    <row r="1" spans="1:7" s="3" customFormat="1" ht="15" customHeight="1" x14ac:dyDescent="0.25">
      <c r="A1" s="65" t="s">
        <v>25</v>
      </c>
      <c r="B1" s="65"/>
      <c r="C1" s="65"/>
      <c r="D1" s="18" t="s">
        <v>159</v>
      </c>
      <c r="E1" s="18" t="s">
        <v>160</v>
      </c>
      <c r="F1" s="31"/>
      <c r="G1" s="2"/>
    </row>
    <row r="2" spans="1:7" ht="13.5" thickBot="1" x14ac:dyDescent="0.3">
      <c r="A2" s="42"/>
      <c r="B2" s="42"/>
      <c r="C2" s="42"/>
      <c r="D2" s="42"/>
      <c r="E2" s="42"/>
      <c r="F2" s="42"/>
    </row>
    <row r="3" spans="1:7" ht="13.5" thickBot="1" x14ac:dyDescent="0.3">
      <c r="A3" s="56" t="s">
        <v>154</v>
      </c>
      <c r="B3" s="57"/>
      <c r="C3" s="58"/>
      <c r="D3" s="61" t="s">
        <v>34</v>
      </c>
      <c r="E3" s="61"/>
      <c r="F3" s="61"/>
    </row>
    <row r="4" spans="1:7" x14ac:dyDescent="0.25">
      <c r="A4" s="5"/>
      <c r="B4" s="19"/>
      <c r="C4" s="5"/>
      <c r="D4" s="61" t="s">
        <v>76</v>
      </c>
      <c r="E4" s="61"/>
      <c r="F4" s="61"/>
    </row>
    <row r="5" spans="1:7" x14ac:dyDescent="0.25">
      <c r="A5" s="5"/>
      <c r="B5" s="19"/>
      <c r="C5" s="5"/>
      <c r="D5" s="61" t="s">
        <v>77</v>
      </c>
      <c r="E5" s="61"/>
      <c r="F5" s="61"/>
    </row>
    <row r="6" spans="1:7" x14ac:dyDescent="0.25">
      <c r="A6" s="5"/>
      <c r="B6" s="19"/>
      <c r="C6" s="5"/>
      <c r="D6" s="61" t="s">
        <v>153</v>
      </c>
      <c r="E6" s="61"/>
      <c r="F6" s="61"/>
    </row>
    <row r="7" spans="1:7" ht="13.5" thickBot="1" x14ac:dyDescent="0.3">
      <c r="A7" s="5"/>
      <c r="B7" s="19"/>
      <c r="C7" s="5"/>
      <c r="D7" s="19"/>
      <c r="E7" s="19"/>
      <c r="F7" s="5"/>
    </row>
    <row r="8" spans="1:7" ht="13.5" customHeight="1" x14ac:dyDescent="0.25">
      <c r="A8" s="43" t="s">
        <v>155</v>
      </c>
      <c r="B8" s="44"/>
      <c r="C8" s="45"/>
      <c r="D8" s="78" t="s">
        <v>3</v>
      </c>
      <c r="E8" s="79"/>
      <c r="F8" s="80"/>
      <c r="G8" s="1"/>
    </row>
    <row r="9" spans="1:7" ht="13.5" thickBot="1" x14ac:dyDescent="0.3">
      <c r="A9" s="46"/>
      <c r="B9" s="47"/>
      <c r="C9" s="48"/>
      <c r="D9" s="81"/>
      <c r="E9" s="82"/>
      <c r="F9" s="83"/>
    </row>
    <row r="10" spans="1:7" x14ac:dyDescent="0.25">
      <c r="A10" s="65" t="s">
        <v>28</v>
      </c>
      <c r="B10" s="65"/>
      <c r="C10" s="65"/>
      <c r="D10" s="19" t="s">
        <v>0</v>
      </c>
      <c r="E10" s="19"/>
      <c r="F10" s="5"/>
    </row>
    <row r="11" spans="1:7" x14ac:dyDescent="0.25">
      <c r="A11" s="5"/>
      <c r="B11" s="19"/>
      <c r="C11" s="5"/>
      <c r="D11" s="19" t="s">
        <v>1</v>
      </c>
      <c r="E11" s="19"/>
      <c r="F11" s="5"/>
    </row>
    <row r="12" spans="1:7" x14ac:dyDescent="0.25">
      <c r="A12" s="5"/>
      <c r="B12" s="19"/>
      <c r="C12" s="5"/>
      <c r="D12" s="19" t="s">
        <v>2</v>
      </c>
      <c r="E12" s="19"/>
      <c r="F12" s="5"/>
    </row>
    <row r="13" spans="1:7" x14ac:dyDescent="0.25">
      <c r="A13" s="5"/>
      <c r="B13" s="19"/>
      <c r="C13" s="5"/>
      <c r="D13" s="6" t="s">
        <v>26</v>
      </c>
      <c r="E13" s="19"/>
      <c r="F13" s="5"/>
    </row>
    <row r="14" spans="1:7" x14ac:dyDescent="0.25">
      <c r="A14" s="5"/>
      <c r="B14" s="19"/>
      <c r="C14" s="5"/>
      <c r="D14" s="6" t="s">
        <v>29</v>
      </c>
      <c r="E14" s="19"/>
      <c r="F14" s="5"/>
    </row>
    <row r="15" spans="1:7" x14ac:dyDescent="0.25">
      <c r="A15" s="5"/>
      <c r="B15" s="19"/>
      <c r="C15" s="5"/>
      <c r="D15" s="6" t="s">
        <v>78</v>
      </c>
      <c r="E15" s="19"/>
      <c r="F15" s="5"/>
    </row>
    <row r="16" spans="1:7" x14ac:dyDescent="0.25">
      <c r="A16" s="5"/>
      <c r="B16" s="19"/>
      <c r="C16" s="5"/>
      <c r="D16" s="19"/>
      <c r="E16" s="19"/>
      <c r="F16" s="5"/>
    </row>
    <row r="17" spans="1:6" ht="34.5" customHeight="1" x14ac:dyDescent="0.25">
      <c r="A17" s="65" t="s">
        <v>27</v>
      </c>
      <c r="B17" s="65"/>
      <c r="C17" s="65"/>
      <c r="D17" s="61" t="s">
        <v>161</v>
      </c>
      <c r="E17" s="61"/>
      <c r="F17" s="61"/>
    </row>
    <row r="18" spans="1:6" x14ac:dyDescent="0.25">
      <c r="A18" s="5"/>
      <c r="B18" s="19"/>
      <c r="C18" s="5"/>
      <c r="D18" s="19" t="s">
        <v>30</v>
      </c>
      <c r="E18" s="19"/>
      <c r="F18" s="5"/>
    </row>
    <row r="19" spans="1:6" x14ac:dyDescent="0.25">
      <c r="A19" s="5"/>
      <c r="B19" s="19"/>
      <c r="C19" s="5"/>
      <c r="D19" s="6" t="s">
        <v>4</v>
      </c>
      <c r="E19" s="19"/>
      <c r="F19" s="5"/>
    </row>
    <row r="20" spans="1:6" x14ac:dyDescent="0.25">
      <c r="A20" s="5"/>
      <c r="B20" s="19"/>
      <c r="C20" s="5"/>
      <c r="D20" s="19" t="s">
        <v>5</v>
      </c>
      <c r="E20" s="5"/>
      <c r="F20" s="5"/>
    </row>
    <row r="21" spans="1:6" x14ac:dyDescent="0.25">
      <c r="A21" s="5"/>
      <c r="B21" s="19"/>
      <c r="C21" s="5"/>
      <c r="D21" s="6" t="s">
        <v>79</v>
      </c>
      <c r="E21" s="5"/>
      <c r="F21" s="5"/>
    </row>
    <row r="22" spans="1:6" ht="12.75" customHeight="1" x14ac:dyDescent="0.25">
      <c r="A22" s="5"/>
      <c r="B22" s="19"/>
      <c r="C22" s="5"/>
      <c r="D22" s="61" t="s">
        <v>162</v>
      </c>
      <c r="E22" s="61"/>
      <c r="F22" s="61"/>
    </row>
    <row r="23" spans="1:6" ht="12.75" customHeight="1" x14ac:dyDescent="0.25">
      <c r="A23" s="5"/>
      <c r="B23" s="19"/>
      <c r="C23" s="5"/>
      <c r="D23" s="61" t="s">
        <v>163</v>
      </c>
      <c r="E23" s="61"/>
      <c r="F23" s="61"/>
    </row>
    <row r="24" spans="1:6" x14ac:dyDescent="0.25">
      <c r="A24" s="5"/>
      <c r="B24" s="19"/>
      <c r="C24" s="5"/>
      <c r="D24" s="61" t="s">
        <v>6</v>
      </c>
      <c r="E24" s="61"/>
      <c r="F24" s="61"/>
    </row>
    <row r="25" spans="1:6" x14ac:dyDescent="0.25">
      <c r="A25" s="5"/>
      <c r="B25" s="19"/>
      <c r="C25" s="5"/>
      <c r="D25" s="61" t="s">
        <v>80</v>
      </c>
      <c r="E25" s="61"/>
      <c r="F25" s="61"/>
    </row>
    <row r="26" spans="1:6" ht="13.5" thickBot="1" x14ac:dyDescent="0.3">
      <c r="A26" s="5"/>
      <c r="B26" s="19"/>
      <c r="C26" s="5"/>
      <c r="D26" s="19"/>
      <c r="E26" s="19"/>
      <c r="F26" s="5"/>
    </row>
    <row r="27" spans="1:6" ht="12.75" customHeight="1" x14ac:dyDescent="0.25">
      <c r="A27" s="43" t="s">
        <v>8</v>
      </c>
      <c r="B27" s="44"/>
      <c r="C27" s="44"/>
      <c r="D27" s="75" t="s">
        <v>164</v>
      </c>
      <c r="E27" s="75"/>
      <c r="F27" s="76"/>
    </row>
    <row r="28" spans="1:6" ht="15" customHeight="1" x14ac:dyDescent="0.25">
      <c r="A28" s="64"/>
      <c r="B28" s="65"/>
      <c r="C28" s="65"/>
      <c r="D28" s="42"/>
      <c r="E28" s="42"/>
      <c r="F28" s="77"/>
    </row>
    <row r="29" spans="1:6" ht="15" customHeight="1" x14ac:dyDescent="0.25">
      <c r="A29" s="64"/>
      <c r="B29" s="65"/>
      <c r="C29" s="65"/>
      <c r="D29" s="42"/>
      <c r="E29" s="42"/>
      <c r="F29" s="77"/>
    </row>
    <row r="30" spans="1:6" ht="15" customHeight="1" x14ac:dyDescent="0.25">
      <c r="A30" s="64"/>
      <c r="B30" s="65"/>
      <c r="C30" s="65"/>
      <c r="D30" s="61" t="s">
        <v>7</v>
      </c>
      <c r="E30" s="61"/>
      <c r="F30" s="73"/>
    </row>
    <row r="31" spans="1:6" ht="15.75" customHeight="1" thickBot="1" x14ac:dyDescent="0.3">
      <c r="A31" s="46"/>
      <c r="B31" s="47"/>
      <c r="C31" s="47"/>
      <c r="D31" s="68" t="s">
        <v>165</v>
      </c>
      <c r="E31" s="68"/>
      <c r="F31" s="69"/>
    </row>
    <row r="32" spans="1:6" ht="13.5" thickBot="1" x14ac:dyDescent="0.3">
      <c r="A32" s="5"/>
      <c r="B32" s="19"/>
      <c r="C32" s="5"/>
      <c r="D32" s="19"/>
      <c r="E32" s="19"/>
      <c r="F32" s="5"/>
    </row>
    <row r="33" spans="1:6" ht="26.25" thickBot="1" x14ac:dyDescent="0.3">
      <c r="A33" s="56" t="s">
        <v>156</v>
      </c>
      <c r="B33" s="57"/>
      <c r="C33" s="58"/>
      <c r="D33" s="19" t="s">
        <v>33</v>
      </c>
      <c r="E33" s="19"/>
      <c r="F33" s="5"/>
    </row>
    <row r="34" spans="1:6" x14ac:dyDescent="0.25">
      <c r="A34" s="5"/>
      <c r="B34" s="19"/>
      <c r="C34" s="5"/>
      <c r="D34" s="19" t="s">
        <v>9</v>
      </c>
      <c r="E34" s="19"/>
      <c r="F34" s="5"/>
    </row>
    <row r="35" spans="1:6" x14ac:dyDescent="0.25">
      <c r="A35" s="5"/>
      <c r="B35" s="19"/>
      <c r="C35" s="5"/>
      <c r="D35" s="19" t="s">
        <v>10</v>
      </c>
      <c r="E35" s="19"/>
      <c r="F35" s="5"/>
    </row>
    <row r="36" spans="1:6" x14ac:dyDescent="0.25">
      <c r="A36" s="5"/>
      <c r="B36" s="19"/>
      <c r="C36" s="5"/>
      <c r="D36" s="19" t="s">
        <v>31</v>
      </c>
      <c r="E36" s="19"/>
      <c r="F36" s="5"/>
    </row>
    <row r="37" spans="1:6" x14ac:dyDescent="0.25">
      <c r="A37" s="5"/>
      <c r="B37" s="19"/>
      <c r="C37" s="5"/>
      <c r="D37" s="19" t="s">
        <v>11</v>
      </c>
      <c r="E37" s="19" t="s">
        <v>12</v>
      </c>
      <c r="F37" s="5"/>
    </row>
    <row r="38" spans="1:6" x14ac:dyDescent="0.25">
      <c r="A38" s="5"/>
      <c r="B38" s="19"/>
      <c r="C38" s="5"/>
      <c r="D38" s="19" t="s">
        <v>13</v>
      </c>
      <c r="E38" s="19"/>
      <c r="F38" s="5"/>
    </row>
    <row r="39" spans="1:6" x14ac:dyDescent="0.25">
      <c r="A39" s="5"/>
      <c r="B39" s="19"/>
      <c r="C39" s="5"/>
      <c r="D39" s="19"/>
      <c r="E39" s="19"/>
      <c r="F39" s="5"/>
    </row>
    <row r="40" spans="1:6" x14ac:dyDescent="0.25">
      <c r="A40" s="5"/>
      <c r="B40" s="19"/>
      <c r="C40" s="5"/>
      <c r="D40" s="61" t="s">
        <v>20</v>
      </c>
      <c r="E40" s="61"/>
      <c r="F40" s="5"/>
    </row>
    <row r="41" spans="1:6" x14ac:dyDescent="0.25">
      <c r="A41" s="5"/>
      <c r="B41" s="19"/>
      <c r="C41" s="5"/>
      <c r="D41" s="61" t="s">
        <v>14</v>
      </c>
      <c r="E41" s="61"/>
      <c r="F41" s="5"/>
    </row>
    <row r="42" spans="1:6" x14ac:dyDescent="0.25">
      <c r="A42" s="5"/>
      <c r="B42" s="19"/>
      <c r="C42" s="5"/>
      <c r="D42" s="61" t="s">
        <v>15</v>
      </c>
      <c r="E42" s="61"/>
      <c r="F42" s="5"/>
    </row>
    <row r="43" spans="1:6" x14ac:dyDescent="0.25">
      <c r="A43" s="5"/>
      <c r="B43" s="19"/>
      <c r="C43" s="5"/>
      <c r="D43" s="61" t="s">
        <v>82</v>
      </c>
      <c r="E43" s="61"/>
      <c r="F43" s="5"/>
    </row>
    <row r="44" spans="1:6" x14ac:dyDescent="0.25">
      <c r="A44" s="5"/>
      <c r="B44" s="19"/>
      <c r="C44" s="5"/>
      <c r="D44" s="61" t="s">
        <v>16</v>
      </c>
      <c r="E44" s="61"/>
      <c r="F44" s="5"/>
    </row>
    <row r="45" spans="1:6" x14ac:dyDescent="0.25">
      <c r="A45" s="5"/>
      <c r="B45" s="19"/>
      <c r="C45" s="5"/>
      <c r="D45" s="61" t="s">
        <v>17</v>
      </c>
      <c r="E45" s="61"/>
      <c r="F45" s="5"/>
    </row>
    <row r="46" spans="1:6" x14ac:dyDescent="0.25">
      <c r="A46" s="5"/>
      <c r="B46" s="19"/>
      <c r="C46" s="5"/>
      <c r="D46" s="61" t="s">
        <v>18</v>
      </c>
      <c r="E46" s="61"/>
      <c r="F46" s="5"/>
    </row>
    <row r="47" spans="1:6" x14ac:dyDescent="0.25">
      <c r="A47" s="5"/>
      <c r="B47" s="19"/>
      <c r="C47" s="5"/>
      <c r="D47" s="61" t="s">
        <v>19</v>
      </c>
      <c r="E47" s="61"/>
      <c r="F47" s="5"/>
    </row>
    <row r="48" spans="1:6" x14ac:dyDescent="0.25">
      <c r="A48" s="5"/>
      <c r="B48" s="19"/>
      <c r="C48" s="5"/>
      <c r="D48" s="6"/>
      <c r="E48" s="6"/>
      <c r="F48" s="5"/>
    </row>
    <row r="49" spans="1:6" x14ac:dyDescent="0.25">
      <c r="A49" s="5"/>
      <c r="B49" s="19"/>
      <c r="C49" s="5"/>
      <c r="D49" s="61" t="s">
        <v>32</v>
      </c>
      <c r="E49" s="61"/>
      <c r="F49" s="5"/>
    </row>
    <row r="50" spans="1:6" x14ac:dyDescent="0.25">
      <c r="A50" s="5"/>
      <c r="B50" s="19"/>
      <c r="C50" s="5"/>
      <c r="D50" s="61"/>
      <c r="E50" s="61"/>
      <c r="F50" s="5"/>
    </row>
    <row r="51" spans="1:6" x14ac:dyDescent="0.25">
      <c r="A51" s="5"/>
      <c r="B51" s="19"/>
      <c r="C51" s="5"/>
      <c r="D51" s="61"/>
      <c r="E51" s="61"/>
      <c r="F51" s="5"/>
    </row>
    <row r="52" spans="1:6" x14ac:dyDescent="0.25">
      <c r="A52" s="5"/>
      <c r="B52" s="19"/>
      <c r="C52" s="5"/>
      <c r="D52" s="61"/>
      <c r="E52" s="61"/>
      <c r="F52" s="5"/>
    </row>
    <row r="53" spans="1:6" x14ac:dyDescent="0.25">
      <c r="A53" s="5"/>
      <c r="B53" s="19"/>
      <c r="C53" s="5"/>
      <c r="D53" s="61"/>
      <c r="E53" s="61"/>
      <c r="F53" s="5"/>
    </row>
    <row r="54" spans="1:6" x14ac:dyDescent="0.25">
      <c r="A54" s="5"/>
      <c r="B54" s="19"/>
      <c r="C54" s="5"/>
      <c r="D54" s="61"/>
      <c r="E54" s="61"/>
      <c r="F54" s="5"/>
    </row>
    <row r="55" spans="1:6" x14ac:dyDescent="0.25">
      <c r="A55" s="5"/>
      <c r="B55" s="19"/>
      <c r="C55" s="5"/>
      <c r="D55" s="61"/>
      <c r="E55" s="61"/>
      <c r="F55" s="5"/>
    </row>
    <row r="56" spans="1:6" x14ac:dyDescent="0.25">
      <c r="A56" s="5"/>
      <c r="B56" s="19"/>
      <c r="C56" s="5"/>
      <c r="D56" s="61"/>
      <c r="E56" s="61"/>
      <c r="F56" s="5"/>
    </row>
    <row r="57" spans="1:6" x14ac:dyDescent="0.25">
      <c r="A57" s="5"/>
      <c r="B57" s="19"/>
      <c r="C57" s="5"/>
      <c r="D57" s="6"/>
      <c r="E57" s="6"/>
      <c r="F57" s="5"/>
    </row>
    <row r="58" spans="1:6" ht="13.5" thickBot="1" x14ac:dyDescent="0.3">
      <c r="A58" s="5"/>
      <c r="B58" s="19"/>
      <c r="C58" s="5"/>
      <c r="D58" s="19"/>
      <c r="E58" s="19"/>
      <c r="F58" s="5"/>
    </row>
    <row r="59" spans="1:6" ht="13.5" thickBot="1" x14ac:dyDescent="0.3">
      <c r="A59" s="56" t="s">
        <v>157</v>
      </c>
      <c r="B59" s="57"/>
      <c r="C59" s="58"/>
      <c r="D59" s="19" t="s">
        <v>30</v>
      </c>
      <c r="E59" s="19"/>
      <c r="F59" s="5"/>
    </row>
    <row r="60" spans="1:6" x14ac:dyDescent="0.25">
      <c r="A60" s="5"/>
      <c r="B60" s="19"/>
      <c r="C60" s="5"/>
      <c r="D60" s="19" t="s">
        <v>21</v>
      </c>
      <c r="E60" s="19"/>
      <c r="F60" s="5"/>
    </row>
    <row r="61" spans="1:6" x14ac:dyDescent="0.25">
      <c r="A61" s="5"/>
      <c r="B61" s="19"/>
      <c r="C61" s="5"/>
      <c r="D61" s="19" t="s">
        <v>22</v>
      </c>
      <c r="E61" s="19"/>
      <c r="F61" s="5"/>
    </row>
    <row r="62" spans="1:6" x14ac:dyDescent="0.25">
      <c r="A62" s="42"/>
      <c r="B62" s="19"/>
      <c r="C62" s="5"/>
      <c r="D62" s="6" t="s">
        <v>166</v>
      </c>
      <c r="E62" s="61" t="s">
        <v>35</v>
      </c>
      <c r="F62" s="61"/>
    </row>
    <row r="63" spans="1:6" ht="29.25" customHeight="1" x14ac:dyDescent="0.25">
      <c r="A63" s="42"/>
      <c r="B63" s="19"/>
      <c r="C63" s="5"/>
      <c r="D63" s="6" t="s">
        <v>168</v>
      </c>
      <c r="E63" s="61" t="s">
        <v>93</v>
      </c>
      <c r="F63" s="61"/>
    </row>
    <row r="64" spans="1:6" x14ac:dyDescent="0.25">
      <c r="A64" s="5"/>
      <c r="B64" s="19"/>
      <c r="C64" s="5"/>
      <c r="D64" s="19"/>
      <c r="E64" s="19"/>
      <c r="F64" s="5"/>
    </row>
    <row r="65" spans="1:6" ht="12.75" customHeight="1" x14ac:dyDescent="0.25">
      <c r="A65" s="59" t="s">
        <v>23</v>
      </c>
      <c r="B65" s="59"/>
      <c r="C65" s="59"/>
      <c r="D65" s="61" t="s">
        <v>167</v>
      </c>
      <c r="E65" s="61"/>
      <c r="F65" s="61"/>
    </row>
    <row r="66" spans="1:6" ht="12.75" customHeight="1" x14ac:dyDescent="0.25">
      <c r="A66" s="59" t="s">
        <v>24</v>
      </c>
      <c r="B66" s="59"/>
      <c r="C66" s="59"/>
      <c r="D66" s="61"/>
      <c r="E66" s="61"/>
      <c r="F66" s="61"/>
    </row>
    <row r="67" spans="1:6" x14ac:dyDescent="0.25">
      <c r="A67" s="59" t="s">
        <v>81</v>
      </c>
      <c r="B67" s="59"/>
      <c r="C67" s="59"/>
      <c r="D67" s="61"/>
      <c r="E67" s="61"/>
      <c r="F67" s="61"/>
    </row>
    <row r="68" spans="1:6" x14ac:dyDescent="0.25">
      <c r="A68" s="19"/>
      <c r="B68" s="19"/>
      <c r="C68" s="5"/>
      <c r="D68" s="19"/>
      <c r="E68" s="19"/>
      <c r="F68" s="5"/>
    </row>
    <row r="69" spans="1:6" x14ac:dyDescent="0.25">
      <c r="A69" s="59" t="s">
        <v>148</v>
      </c>
      <c r="B69" s="59"/>
      <c r="C69" s="59"/>
      <c r="D69" s="49" t="s">
        <v>36</v>
      </c>
      <c r="E69" s="50"/>
      <c r="F69" s="5"/>
    </row>
    <row r="70" spans="1:6" x14ac:dyDescent="0.25">
      <c r="A70" s="21"/>
      <c r="B70" s="19"/>
      <c r="C70" s="5"/>
      <c r="D70" s="61" t="s">
        <v>37</v>
      </c>
      <c r="E70" s="61"/>
      <c r="F70" s="61"/>
    </row>
    <row r="71" spans="1:6" x14ac:dyDescent="0.25">
      <c r="A71" s="19"/>
      <c r="B71" s="19"/>
      <c r="C71" s="5"/>
      <c r="D71" s="61" t="s">
        <v>169</v>
      </c>
      <c r="E71" s="61"/>
      <c r="F71" s="61"/>
    </row>
    <row r="72" spans="1:6" x14ac:dyDescent="0.25">
      <c r="A72" s="19"/>
      <c r="B72" s="19"/>
      <c r="C72" s="5"/>
      <c r="D72" s="61" t="s">
        <v>38</v>
      </c>
      <c r="E72" s="61"/>
      <c r="F72" s="61"/>
    </row>
    <row r="73" spans="1:6" x14ac:dyDescent="0.25">
      <c r="A73" s="19"/>
      <c r="B73" s="19"/>
      <c r="C73" s="5"/>
      <c r="D73" s="19"/>
      <c r="E73" s="19"/>
      <c r="F73" s="5"/>
    </row>
    <row r="74" spans="1:6" ht="12.75" customHeight="1" x14ac:dyDescent="0.25">
      <c r="A74" s="59" t="s">
        <v>170</v>
      </c>
      <c r="B74" s="59"/>
      <c r="C74" s="59"/>
      <c r="D74" s="61" t="s">
        <v>149</v>
      </c>
      <c r="E74" s="61"/>
      <c r="F74" s="61"/>
    </row>
    <row r="75" spans="1:6" x14ac:dyDescent="0.25">
      <c r="A75" s="59"/>
      <c r="B75" s="59"/>
      <c r="C75" s="59"/>
      <c r="D75" s="61" t="s">
        <v>150</v>
      </c>
      <c r="E75" s="61"/>
      <c r="F75" s="61"/>
    </row>
    <row r="76" spans="1:6" x14ac:dyDescent="0.25">
      <c r="A76" s="59"/>
      <c r="B76" s="59"/>
      <c r="C76" s="59"/>
      <c r="D76" s="61" t="s">
        <v>151</v>
      </c>
      <c r="E76" s="61"/>
      <c r="F76" s="61"/>
    </row>
    <row r="77" spans="1:6" ht="13.5" thickBot="1" x14ac:dyDescent="0.3">
      <c r="A77" s="5"/>
      <c r="B77" s="19"/>
      <c r="C77" s="5"/>
      <c r="D77" s="19"/>
      <c r="E77" s="19"/>
      <c r="F77" s="5"/>
    </row>
    <row r="78" spans="1:6" ht="13.5" thickBot="1" x14ac:dyDescent="0.3">
      <c r="A78" s="56" t="s">
        <v>158</v>
      </c>
      <c r="B78" s="57"/>
      <c r="C78" s="58"/>
      <c r="D78" s="19" t="s">
        <v>39</v>
      </c>
      <c r="E78" s="19"/>
      <c r="F78" s="5"/>
    </row>
    <row r="79" spans="1:6" x14ac:dyDescent="0.25">
      <c r="A79" s="5"/>
      <c r="B79" s="19"/>
      <c r="C79" s="5"/>
      <c r="D79" s="19"/>
      <c r="E79" s="19"/>
      <c r="F79" s="5"/>
    </row>
    <row r="80" spans="1:6" x14ac:dyDescent="0.25">
      <c r="A80" s="59" t="s">
        <v>46</v>
      </c>
      <c r="B80" s="59"/>
      <c r="C80" s="59"/>
      <c r="D80" s="22" t="s">
        <v>55</v>
      </c>
      <c r="E80" s="84" t="s">
        <v>56</v>
      </c>
      <c r="F80" s="85"/>
    </row>
    <row r="81" spans="1:6" x14ac:dyDescent="0.25">
      <c r="A81" s="5"/>
      <c r="B81" s="19"/>
      <c r="C81" s="5"/>
      <c r="D81" s="23" t="s">
        <v>40</v>
      </c>
      <c r="E81" s="60" t="s">
        <v>48</v>
      </c>
      <c r="F81" s="61"/>
    </row>
    <row r="82" spans="1:6" x14ac:dyDescent="0.25">
      <c r="A82" s="5"/>
      <c r="B82" s="19"/>
      <c r="C82" s="5"/>
      <c r="D82" s="23" t="s">
        <v>41</v>
      </c>
      <c r="E82" s="60" t="s">
        <v>49</v>
      </c>
      <c r="F82" s="61"/>
    </row>
    <row r="83" spans="1:6" x14ac:dyDescent="0.25">
      <c r="A83" s="5"/>
      <c r="B83" s="19"/>
      <c r="C83" s="5"/>
      <c r="D83" s="23" t="s">
        <v>42</v>
      </c>
      <c r="E83" s="60" t="s">
        <v>50</v>
      </c>
      <c r="F83" s="61"/>
    </row>
    <row r="84" spans="1:6" x14ac:dyDescent="0.25">
      <c r="A84" s="5"/>
      <c r="B84" s="19"/>
      <c r="C84" s="5"/>
      <c r="D84" s="23" t="s">
        <v>91</v>
      </c>
      <c r="E84" s="60" t="s">
        <v>51</v>
      </c>
      <c r="F84" s="61"/>
    </row>
    <row r="85" spans="1:6" x14ac:dyDescent="0.25">
      <c r="A85" s="5"/>
      <c r="B85" s="19"/>
      <c r="C85" s="5"/>
      <c r="D85" s="23" t="s">
        <v>92</v>
      </c>
      <c r="E85" s="60"/>
      <c r="F85" s="61"/>
    </row>
    <row r="86" spans="1:6" x14ac:dyDescent="0.25">
      <c r="A86" s="5"/>
      <c r="B86" s="19"/>
      <c r="C86" s="5"/>
      <c r="D86" s="23" t="s">
        <v>43</v>
      </c>
      <c r="E86" s="60" t="s">
        <v>52</v>
      </c>
      <c r="F86" s="61"/>
    </row>
    <row r="87" spans="1:6" x14ac:dyDescent="0.25">
      <c r="A87" s="5"/>
      <c r="B87" s="19"/>
      <c r="C87" s="5"/>
      <c r="D87" s="23" t="s">
        <v>44</v>
      </c>
      <c r="E87" s="60" t="s">
        <v>53</v>
      </c>
      <c r="F87" s="61"/>
    </row>
    <row r="88" spans="1:6" x14ac:dyDescent="0.25">
      <c r="A88" s="5"/>
      <c r="B88" s="19"/>
      <c r="C88" s="5"/>
      <c r="D88" s="23" t="s">
        <v>47</v>
      </c>
      <c r="E88" s="60" t="s">
        <v>54</v>
      </c>
      <c r="F88" s="61"/>
    </row>
    <row r="89" spans="1:6" x14ac:dyDescent="0.25">
      <c r="A89" s="5"/>
      <c r="B89" s="19"/>
      <c r="C89" s="5"/>
      <c r="D89" s="23"/>
      <c r="E89" s="60"/>
      <c r="F89" s="61"/>
    </row>
    <row r="90" spans="1:6" x14ac:dyDescent="0.25">
      <c r="A90" s="5"/>
      <c r="B90" s="19"/>
      <c r="C90" s="5"/>
      <c r="D90" s="24" t="s">
        <v>45</v>
      </c>
      <c r="E90" s="86"/>
      <c r="F90" s="87"/>
    </row>
    <row r="91" spans="1:6" x14ac:dyDescent="0.25">
      <c r="A91" s="5"/>
      <c r="B91" s="19"/>
      <c r="C91" s="5"/>
      <c r="D91" s="22" t="s">
        <v>171</v>
      </c>
      <c r="E91" s="84" t="s">
        <v>172</v>
      </c>
      <c r="F91" s="85"/>
    </row>
    <row r="92" spans="1:6" x14ac:dyDescent="0.25">
      <c r="A92" s="5"/>
      <c r="B92" s="19"/>
      <c r="C92" s="5"/>
      <c r="D92" s="23" t="s">
        <v>30</v>
      </c>
      <c r="E92" s="60" t="s">
        <v>2</v>
      </c>
      <c r="F92" s="61"/>
    </row>
    <row r="93" spans="1:6" x14ac:dyDescent="0.25">
      <c r="A93" s="5"/>
      <c r="B93" s="19"/>
      <c r="C93" s="5"/>
      <c r="D93" s="23" t="s">
        <v>57</v>
      </c>
      <c r="E93" s="60" t="s">
        <v>61</v>
      </c>
      <c r="F93" s="61"/>
    </row>
    <row r="94" spans="1:6" x14ac:dyDescent="0.25">
      <c r="A94" s="5"/>
      <c r="B94" s="19"/>
      <c r="C94" s="5"/>
      <c r="D94" s="23" t="s">
        <v>30</v>
      </c>
      <c r="E94" s="60" t="s">
        <v>62</v>
      </c>
      <c r="F94" s="61"/>
    </row>
    <row r="95" spans="1:6" x14ac:dyDescent="0.25">
      <c r="A95" s="5"/>
      <c r="B95" s="19"/>
      <c r="C95" s="5"/>
      <c r="D95" s="23" t="s">
        <v>42</v>
      </c>
      <c r="E95" s="60" t="s">
        <v>63</v>
      </c>
      <c r="F95" s="61"/>
    </row>
    <row r="96" spans="1:6" x14ac:dyDescent="0.25">
      <c r="A96" s="5"/>
      <c r="B96" s="19"/>
      <c r="C96" s="5"/>
      <c r="D96" s="23" t="s">
        <v>94</v>
      </c>
      <c r="E96" s="60" t="s">
        <v>64</v>
      </c>
      <c r="F96" s="61"/>
    </row>
    <row r="97" spans="1:6" x14ac:dyDescent="0.25">
      <c r="A97" s="5"/>
      <c r="B97" s="19"/>
      <c r="C97" s="5"/>
      <c r="D97" s="23" t="s">
        <v>58</v>
      </c>
      <c r="E97" s="60" t="s">
        <v>65</v>
      </c>
      <c r="F97" s="61"/>
    </row>
    <row r="98" spans="1:6" x14ac:dyDescent="0.25">
      <c r="A98" s="5"/>
      <c r="B98" s="19"/>
      <c r="C98" s="5"/>
      <c r="D98" s="23" t="s">
        <v>59</v>
      </c>
      <c r="E98" s="60" t="s">
        <v>66</v>
      </c>
      <c r="F98" s="61"/>
    </row>
    <row r="99" spans="1:6" x14ac:dyDescent="0.25">
      <c r="A99" s="5"/>
      <c r="B99" s="19"/>
      <c r="C99" s="5"/>
      <c r="D99" s="23" t="s">
        <v>60</v>
      </c>
      <c r="E99" s="60" t="s">
        <v>67</v>
      </c>
      <c r="F99" s="61"/>
    </row>
    <row r="100" spans="1:6" x14ac:dyDescent="0.25">
      <c r="A100" s="5"/>
      <c r="B100" s="19"/>
      <c r="C100" s="5"/>
      <c r="D100" s="23"/>
      <c r="E100" s="60" t="s">
        <v>68</v>
      </c>
      <c r="F100" s="61"/>
    </row>
    <row r="101" spans="1:6" ht="13.5" thickBot="1" x14ac:dyDescent="0.3">
      <c r="A101" s="5"/>
      <c r="B101" s="19"/>
      <c r="C101" s="5"/>
      <c r="D101" s="23"/>
      <c r="E101" s="60" t="s">
        <v>69</v>
      </c>
      <c r="F101" s="61"/>
    </row>
    <row r="102" spans="1:6" ht="12.75" customHeight="1" x14ac:dyDescent="0.25">
      <c r="A102" s="43" t="s">
        <v>173</v>
      </c>
      <c r="B102" s="44"/>
      <c r="C102" s="63"/>
      <c r="D102" s="70" t="s">
        <v>28</v>
      </c>
      <c r="E102" s="71"/>
      <c r="F102" s="72"/>
    </row>
    <row r="103" spans="1:6" x14ac:dyDescent="0.25">
      <c r="A103" s="64"/>
      <c r="B103" s="65"/>
      <c r="C103" s="66"/>
      <c r="D103" s="60" t="s">
        <v>0</v>
      </c>
      <c r="E103" s="61"/>
      <c r="F103" s="73"/>
    </row>
    <row r="104" spans="1:6" x14ac:dyDescent="0.25">
      <c r="A104" s="64"/>
      <c r="B104" s="65"/>
      <c r="C104" s="66"/>
      <c r="D104" s="60" t="s">
        <v>1</v>
      </c>
      <c r="E104" s="61"/>
      <c r="F104" s="73"/>
    </row>
    <row r="105" spans="1:6" x14ac:dyDescent="0.25">
      <c r="A105" s="64"/>
      <c r="B105" s="65"/>
      <c r="C105" s="66"/>
      <c r="D105" s="60" t="s">
        <v>2</v>
      </c>
      <c r="E105" s="61"/>
      <c r="F105" s="73"/>
    </row>
    <row r="106" spans="1:6" x14ac:dyDescent="0.25">
      <c r="A106" s="64"/>
      <c r="B106" s="65"/>
      <c r="C106" s="66"/>
      <c r="D106" s="60" t="s">
        <v>26</v>
      </c>
      <c r="E106" s="61"/>
      <c r="F106" s="73"/>
    </row>
    <row r="107" spans="1:6" x14ac:dyDescent="0.25">
      <c r="A107" s="64"/>
      <c r="B107" s="65"/>
      <c r="C107" s="66"/>
      <c r="D107" s="60" t="s">
        <v>29</v>
      </c>
      <c r="E107" s="61"/>
      <c r="F107" s="73"/>
    </row>
    <row r="108" spans="1:6" ht="13.5" thickBot="1" x14ac:dyDescent="0.3">
      <c r="A108" s="46"/>
      <c r="B108" s="47"/>
      <c r="C108" s="67"/>
      <c r="D108" s="74" t="s">
        <v>152</v>
      </c>
      <c r="E108" s="68"/>
      <c r="F108" s="69"/>
    </row>
    <row r="109" spans="1:6" ht="12.75" customHeight="1" x14ac:dyDescent="0.25">
      <c r="A109" s="43" t="s">
        <v>75</v>
      </c>
      <c r="B109" s="44"/>
      <c r="C109" s="63"/>
      <c r="D109" s="70" t="s">
        <v>71</v>
      </c>
      <c r="E109" s="71"/>
      <c r="F109" s="32"/>
    </row>
    <row r="110" spans="1:6" x14ac:dyDescent="0.25">
      <c r="A110" s="64"/>
      <c r="B110" s="65"/>
      <c r="C110" s="66"/>
      <c r="D110" s="60" t="s">
        <v>72</v>
      </c>
      <c r="E110" s="61"/>
      <c r="F110" s="73"/>
    </row>
    <row r="111" spans="1:6" x14ac:dyDescent="0.25">
      <c r="A111" s="64"/>
      <c r="B111" s="65"/>
      <c r="C111" s="66"/>
      <c r="D111" s="60" t="s">
        <v>73</v>
      </c>
      <c r="E111" s="61"/>
      <c r="F111" s="73"/>
    </row>
    <row r="112" spans="1:6" ht="13.5" thickBot="1" x14ac:dyDescent="0.3">
      <c r="A112" s="46"/>
      <c r="B112" s="47"/>
      <c r="C112" s="67"/>
      <c r="D112" s="74" t="s">
        <v>74</v>
      </c>
      <c r="E112" s="68"/>
      <c r="F112" s="69"/>
    </row>
    <row r="113" spans="1:6" ht="12.75" customHeight="1" x14ac:dyDescent="0.25">
      <c r="A113" s="43" t="s">
        <v>83</v>
      </c>
      <c r="B113" s="44"/>
      <c r="C113" s="44"/>
      <c r="D113" s="71" t="s">
        <v>84</v>
      </c>
      <c r="E113" s="71"/>
      <c r="F113" s="72"/>
    </row>
    <row r="114" spans="1:6" x14ac:dyDescent="0.25">
      <c r="A114" s="64"/>
      <c r="B114" s="65"/>
      <c r="C114" s="65"/>
      <c r="D114" s="61" t="s">
        <v>85</v>
      </c>
      <c r="E114" s="61"/>
      <c r="F114" s="73"/>
    </row>
    <row r="115" spans="1:6" ht="13.5" thickBot="1" x14ac:dyDescent="0.3">
      <c r="A115" s="46"/>
      <c r="B115" s="47"/>
      <c r="C115" s="47"/>
      <c r="D115" s="68" t="s">
        <v>86</v>
      </c>
      <c r="E115" s="68"/>
      <c r="F115" s="69"/>
    </row>
    <row r="116" spans="1:6" ht="12.75" customHeight="1" x14ac:dyDescent="0.25">
      <c r="A116" s="43" t="s">
        <v>70</v>
      </c>
      <c r="B116" s="44"/>
      <c r="C116" s="63"/>
      <c r="D116" s="70" t="s">
        <v>87</v>
      </c>
      <c r="E116" s="71"/>
      <c r="F116" s="72"/>
    </row>
    <row r="117" spans="1:6" x14ac:dyDescent="0.25">
      <c r="A117" s="64"/>
      <c r="B117" s="65"/>
      <c r="C117" s="66"/>
      <c r="D117" s="60" t="s">
        <v>88</v>
      </c>
      <c r="E117" s="61"/>
      <c r="F117" s="73"/>
    </row>
    <row r="118" spans="1:6" x14ac:dyDescent="0.25">
      <c r="A118" s="64"/>
      <c r="B118" s="65"/>
      <c r="C118" s="66"/>
      <c r="D118" s="60" t="s">
        <v>89</v>
      </c>
      <c r="E118" s="61"/>
      <c r="F118" s="73"/>
    </row>
    <row r="119" spans="1:6" ht="13.5" thickBot="1" x14ac:dyDescent="0.3">
      <c r="A119" s="46"/>
      <c r="B119" s="47"/>
      <c r="C119" s="67"/>
      <c r="D119" s="74" t="s">
        <v>90</v>
      </c>
      <c r="E119" s="68"/>
      <c r="F119" s="69"/>
    </row>
    <row r="120" spans="1:6" ht="12.75" customHeight="1" x14ac:dyDescent="0.25">
      <c r="A120" s="62" t="s">
        <v>123</v>
      </c>
      <c r="B120" s="62"/>
      <c r="C120" s="62"/>
      <c r="D120" s="62"/>
      <c r="E120" s="62"/>
      <c r="F120" s="62"/>
    </row>
    <row r="121" spans="1:6" x14ac:dyDescent="0.25">
      <c r="A121" s="20" t="s">
        <v>186</v>
      </c>
      <c r="B121" s="59" t="s">
        <v>187</v>
      </c>
      <c r="C121" s="59"/>
      <c r="D121" s="20" t="s">
        <v>98</v>
      </c>
      <c r="E121" s="20" t="s">
        <v>242</v>
      </c>
      <c r="F121" s="20" t="s">
        <v>241</v>
      </c>
    </row>
    <row r="122" spans="1:6" x14ac:dyDescent="0.25">
      <c r="A122" s="25">
        <v>296</v>
      </c>
      <c r="B122" s="52" t="s">
        <v>120</v>
      </c>
      <c r="C122" s="52"/>
      <c r="D122" s="25" t="s">
        <v>175</v>
      </c>
      <c r="E122" s="25" t="s">
        <v>245</v>
      </c>
      <c r="F122" s="25"/>
    </row>
    <row r="123" spans="1:6" x14ac:dyDescent="0.25">
      <c r="A123" s="25">
        <v>54</v>
      </c>
      <c r="B123" s="52" t="s">
        <v>96</v>
      </c>
      <c r="C123" s="52"/>
      <c r="D123" s="25" t="s">
        <v>97</v>
      </c>
      <c r="E123" s="25" t="s">
        <v>245</v>
      </c>
      <c r="F123" s="25"/>
    </row>
    <row r="124" spans="1:6" x14ac:dyDescent="0.25">
      <c r="A124" s="25">
        <v>152</v>
      </c>
      <c r="B124" s="52" t="s">
        <v>118</v>
      </c>
      <c r="C124" s="52"/>
      <c r="D124" s="25" t="s">
        <v>119</v>
      </c>
      <c r="E124" s="25" t="s">
        <v>245</v>
      </c>
      <c r="F124" s="25"/>
    </row>
    <row r="125" spans="1:6" x14ac:dyDescent="0.25">
      <c r="A125" s="25">
        <v>7</v>
      </c>
      <c r="B125" s="52" t="s">
        <v>99</v>
      </c>
      <c r="C125" s="52"/>
      <c r="D125" s="25" t="s">
        <v>105</v>
      </c>
      <c r="E125" s="25" t="s">
        <v>245</v>
      </c>
      <c r="F125" s="25"/>
    </row>
    <row r="126" spans="1:6" x14ac:dyDescent="0.25">
      <c r="A126" s="25">
        <v>113</v>
      </c>
      <c r="B126" s="52" t="s">
        <v>114</v>
      </c>
      <c r="C126" s="52"/>
      <c r="D126" s="25" t="s">
        <v>178</v>
      </c>
      <c r="E126" s="25" t="s">
        <v>245</v>
      </c>
      <c r="F126" s="25"/>
    </row>
    <row r="127" spans="1:6" x14ac:dyDescent="0.25">
      <c r="A127" s="25">
        <v>291</v>
      </c>
      <c r="B127" s="52" t="s">
        <v>102</v>
      </c>
      <c r="C127" s="52"/>
      <c r="D127" s="25" t="s">
        <v>108</v>
      </c>
      <c r="E127" s="25" t="s">
        <v>245</v>
      </c>
      <c r="F127" s="25"/>
    </row>
    <row r="128" spans="1:6" x14ac:dyDescent="0.25">
      <c r="A128" s="25">
        <v>216</v>
      </c>
      <c r="B128" s="52" t="s">
        <v>100</v>
      </c>
      <c r="C128" s="52"/>
      <c r="D128" s="25" t="s">
        <v>106</v>
      </c>
      <c r="E128" s="25" t="s">
        <v>245</v>
      </c>
      <c r="F128" s="25"/>
    </row>
    <row r="129" spans="1:6" x14ac:dyDescent="0.25">
      <c r="A129" s="25">
        <v>71</v>
      </c>
      <c r="B129" s="52" t="s">
        <v>124</v>
      </c>
      <c r="C129" s="52"/>
      <c r="D129" s="25" t="s">
        <v>125</v>
      </c>
      <c r="E129" s="25" t="s">
        <v>245</v>
      </c>
      <c r="F129" s="25"/>
    </row>
    <row r="130" spans="1:6" x14ac:dyDescent="0.25">
      <c r="A130" s="25">
        <v>71.099999999999994</v>
      </c>
      <c r="B130" s="52" t="s">
        <v>124</v>
      </c>
      <c r="C130" s="52"/>
      <c r="D130" s="25" t="s">
        <v>174</v>
      </c>
      <c r="E130" s="25" t="s">
        <v>245</v>
      </c>
      <c r="F130" s="25"/>
    </row>
    <row r="131" spans="1:6" x14ac:dyDescent="0.25">
      <c r="A131" s="25">
        <v>287</v>
      </c>
      <c r="B131" s="52" t="s">
        <v>101</v>
      </c>
      <c r="C131" s="52"/>
      <c r="D131" s="25" t="s">
        <v>107</v>
      </c>
      <c r="E131" s="25" t="s">
        <v>245</v>
      </c>
      <c r="F131" s="25"/>
    </row>
    <row r="132" spans="1:6" x14ac:dyDescent="0.25">
      <c r="A132" s="25">
        <v>58</v>
      </c>
      <c r="B132" s="52" t="s">
        <v>113</v>
      </c>
      <c r="C132" s="52"/>
      <c r="D132" s="25" t="s">
        <v>177</v>
      </c>
      <c r="E132" s="25" t="s">
        <v>245</v>
      </c>
      <c r="F132" s="25"/>
    </row>
    <row r="133" spans="1:6" x14ac:dyDescent="0.25">
      <c r="A133" s="25">
        <v>76</v>
      </c>
      <c r="B133" s="52" t="s">
        <v>103</v>
      </c>
      <c r="C133" s="52"/>
      <c r="D133" s="25" t="s">
        <v>109</v>
      </c>
      <c r="E133" s="25" t="s">
        <v>245</v>
      </c>
      <c r="F133" s="25"/>
    </row>
    <row r="134" spans="1:6" x14ac:dyDescent="0.25">
      <c r="A134" s="25">
        <v>300</v>
      </c>
      <c r="B134" s="52" t="s">
        <v>121</v>
      </c>
      <c r="C134" s="52"/>
      <c r="D134" s="25" t="s">
        <v>122</v>
      </c>
      <c r="E134" s="25" t="s">
        <v>245</v>
      </c>
      <c r="F134" s="25"/>
    </row>
    <row r="135" spans="1:6" x14ac:dyDescent="0.25">
      <c r="A135" s="25">
        <v>145</v>
      </c>
      <c r="B135" s="52" t="s">
        <v>115</v>
      </c>
      <c r="C135" s="52"/>
      <c r="D135" s="25" t="s">
        <v>117</v>
      </c>
      <c r="E135" s="25" t="s">
        <v>245</v>
      </c>
      <c r="F135" s="25"/>
    </row>
    <row r="136" spans="1:6" x14ac:dyDescent="0.25">
      <c r="A136" s="25">
        <v>57</v>
      </c>
      <c r="B136" s="52" t="s">
        <v>111</v>
      </c>
      <c r="C136" s="52"/>
      <c r="D136" s="25" t="s">
        <v>116</v>
      </c>
      <c r="E136" s="25" t="s">
        <v>245</v>
      </c>
      <c r="F136" s="25"/>
    </row>
    <row r="137" spans="1:6" x14ac:dyDescent="0.25">
      <c r="A137" s="25">
        <v>131</v>
      </c>
      <c r="B137" s="52" t="s">
        <v>104</v>
      </c>
      <c r="C137" s="52"/>
      <c r="D137" s="25" t="s">
        <v>110</v>
      </c>
      <c r="E137" s="25" t="s">
        <v>245</v>
      </c>
      <c r="F137" s="25"/>
    </row>
    <row r="138" spans="1:6" x14ac:dyDescent="0.25">
      <c r="A138" s="25">
        <v>99</v>
      </c>
      <c r="B138" s="52" t="s">
        <v>112</v>
      </c>
      <c r="C138" s="52"/>
      <c r="D138" s="25" t="s">
        <v>176</v>
      </c>
      <c r="E138" s="25" t="s">
        <v>245</v>
      </c>
      <c r="F138" s="25"/>
    </row>
    <row r="139" spans="1:6" x14ac:dyDescent="0.25">
      <c r="A139" s="5">
        <v>297</v>
      </c>
      <c r="B139" s="52" t="s">
        <v>232</v>
      </c>
      <c r="C139" s="52"/>
      <c r="D139" s="25" t="s">
        <v>233</v>
      </c>
      <c r="E139" s="25" t="s">
        <v>245</v>
      </c>
      <c r="F139" s="25"/>
    </row>
    <row r="140" spans="1:6" x14ac:dyDescent="0.25">
      <c r="A140" s="25">
        <v>301</v>
      </c>
      <c r="B140" s="52" t="s">
        <v>126</v>
      </c>
      <c r="C140" s="52"/>
      <c r="D140" s="25" t="s">
        <v>135</v>
      </c>
      <c r="E140" s="25" t="s">
        <v>246</v>
      </c>
      <c r="F140" s="25"/>
    </row>
    <row r="141" spans="1:6" x14ac:dyDescent="0.25">
      <c r="A141" s="25">
        <v>129</v>
      </c>
      <c r="B141" s="52" t="s">
        <v>184</v>
      </c>
      <c r="C141" s="52"/>
      <c r="D141" s="25" t="s">
        <v>234</v>
      </c>
      <c r="E141" s="25" t="s">
        <v>246</v>
      </c>
      <c r="F141" s="25"/>
    </row>
    <row r="142" spans="1:6" x14ac:dyDescent="0.25">
      <c r="A142" s="25">
        <v>192</v>
      </c>
      <c r="B142" s="52" t="s">
        <v>132</v>
      </c>
      <c r="C142" s="52"/>
      <c r="D142" s="25" t="s">
        <v>141</v>
      </c>
      <c r="E142" s="25" t="s">
        <v>246</v>
      </c>
      <c r="F142" s="25"/>
    </row>
    <row r="143" spans="1:6" x14ac:dyDescent="0.25">
      <c r="A143" s="25">
        <v>274</v>
      </c>
      <c r="B143" s="52" t="s">
        <v>185</v>
      </c>
      <c r="C143" s="52"/>
      <c r="D143" s="25" t="s">
        <v>183</v>
      </c>
      <c r="E143" s="25" t="s">
        <v>246</v>
      </c>
      <c r="F143" s="25"/>
    </row>
    <row r="144" spans="1:6" x14ac:dyDescent="0.25">
      <c r="A144" s="25">
        <v>9</v>
      </c>
      <c r="B144" s="52" t="s">
        <v>131</v>
      </c>
      <c r="C144" s="52"/>
      <c r="D144" s="25" t="s">
        <v>140</v>
      </c>
      <c r="E144" s="25" t="s">
        <v>246</v>
      </c>
      <c r="F144" s="27">
        <v>0.1</v>
      </c>
    </row>
    <row r="145" spans="1:8" x14ac:dyDescent="0.25">
      <c r="A145" s="25">
        <v>79</v>
      </c>
      <c r="B145" s="52" t="s">
        <v>133</v>
      </c>
      <c r="C145" s="52"/>
      <c r="D145" s="25" t="s">
        <v>142</v>
      </c>
      <c r="E145" s="25" t="s">
        <v>246</v>
      </c>
      <c r="F145" s="25"/>
    </row>
    <row r="146" spans="1:8" x14ac:dyDescent="0.25">
      <c r="A146" s="25">
        <v>74</v>
      </c>
      <c r="B146" s="52" t="s">
        <v>134</v>
      </c>
      <c r="C146" s="52"/>
      <c r="D146" s="25" t="s">
        <v>143</v>
      </c>
      <c r="E146" s="25" t="s">
        <v>246</v>
      </c>
      <c r="F146" s="25"/>
    </row>
    <row r="147" spans="1:8" x14ac:dyDescent="0.25">
      <c r="A147" s="25">
        <v>282</v>
      </c>
      <c r="B147" s="52" t="s">
        <v>129</v>
      </c>
      <c r="C147" s="52"/>
      <c r="D147" s="25" t="s">
        <v>138</v>
      </c>
      <c r="E147" s="25" t="s">
        <v>246</v>
      </c>
      <c r="F147" s="25"/>
    </row>
    <row r="148" spans="1:8" x14ac:dyDescent="0.25">
      <c r="A148" s="25">
        <v>249</v>
      </c>
      <c r="B148" s="52" t="s">
        <v>147</v>
      </c>
      <c r="C148" s="52"/>
      <c r="D148" s="25" t="s">
        <v>182</v>
      </c>
      <c r="E148" s="25" t="s">
        <v>246</v>
      </c>
      <c r="F148" s="25"/>
    </row>
    <row r="149" spans="1:8" x14ac:dyDescent="0.25">
      <c r="A149" s="25">
        <v>246</v>
      </c>
      <c r="B149" s="52" t="s">
        <v>127</v>
      </c>
      <c r="C149" s="52"/>
      <c r="D149" s="25" t="s">
        <v>136</v>
      </c>
      <c r="E149" s="25" t="s">
        <v>246</v>
      </c>
      <c r="F149" s="25"/>
    </row>
    <row r="150" spans="1:8" x14ac:dyDescent="0.25">
      <c r="A150" s="25">
        <v>19</v>
      </c>
      <c r="B150" s="52" t="s">
        <v>130</v>
      </c>
      <c r="C150" s="52"/>
      <c r="D150" s="25" t="s">
        <v>139</v>
      </c>
      <c r="E150" s="25" t="s">
        <v>246</v>
      </c>
      <c r="F150" s="27">
        <v>0.1</v>
      </c>
    </row>
    <row r="151" spans="1:8" x14ac:dyDescent="0.25">
      <c r="A151" s="25">
        <v>236</v>
      </c>
      <c r="B151" s="52" t="s">
        <v>128</v>
      </c>
      <c r="C151" s="52"/>
      <c r="D151" s="25" t="s">
        <v>137</v>
      </c>
      <c r="E151" s="25" t="s">
        <v>246</v>
      </c>
      <c r="F151" s="25"/>
    </row>
    <row r="152" spans="1:8" x14ac:dyDescent="0.25">
      <c r="A152" s="25">
        <v>124</v>
      </c>
      <c r="B152" s="52" t="s">
        <v>145</v>
      </c>
      <c r="C152" s="52"/>
      <c r="D152" s="25" t="s">
        <v>180</v>
      </c>
      <c r="E152" s="25" t="s">
        <v>246</v>
      </c>
      <c r="F152" s="25"/>
      <c r="H152" s="4"/>
    </row>
    <row r="153" spans="1:8" x14ac:dyDescent="0.25">
      <c r="A153" s="25">
        <v>103</v>
      </c>
      <c r="B153" s="52" t="s">
        <v>144</v>
      </c>
      <c r="C153" s="52"/>
      <c r="D153" s="25" t="s">
        <v>179</v>
      </c>
      <c r="E153" s="25" t="s">
        <v>246</v>
      </c>
      <c r="F153" s="25"/>
    </row>
    <row r="154" spans="1:8" x14ac:dyDescent="0.25">
      <c r="A154" s="25">
        <v>110</v>
      </c>
      <c r="B154" s="52" t="s">
        <v>146</v>
      </c>
      <c r="C154" s="52"/>
      <c r="D154" s="25" t="s">
        <v>181</v>
      </c>
      <c r="E154" s="25" t="s">
        <v>246</v>
      </c>
      <c r="F154" s="25"/>
    </row>
    <row r="155" spans="1:8" x14ac:dyDescent="0.25">
      <c r="A155" s="25">
        <v>97</v>
      </c>
      <c r="B155" s="52" t="s">
        <v>235</v>
      </c>
      <c r="C155" s="52"/>
      <c r="D155" s="25" t="s">
        <v>236</v>
      </c>
      <c r="E155" s="25" t="s">
        <v>246</v>
      </c>
      <c r="F155" s="25"/>
    </row>
    <row r="156" spans="1:8" x14ac:dyDescent="0.25">
      <c r="A156" s="25">
        <v>125</v>
      </c>
      <c r="B156" s="52" t="s">
        <v>237</v>
      </c>
      <c r="C156" s="52"/>
      <c r="D156" s="25" t="s">
        <v>238</v>
      </c>
      <c r="E156" s="25" t="s">
        <v>246</v>
      </c>
      <c r="F156" s="25"/>
    </row>
    <row r="157" spans="1:8" x14ac:dyDescent="0.25">
      <c r="A157" s="25">
        <v>14</v>
      </c>
      <c r="B157" s="52" t="s">
        <v>239</v>
      </c>
      <c r="C157" s="52"/>
      <c r="D157" s="25" t="s">
        <v>240</v>
      </c>
      <c r="E157" s="25" t="s">
        <v>246</v>
      </c>
      <c r="F157" s="25"/>
    </row>
    <row r="158" spans="1:8" x14ac:dyDescent="0.25">
      <c r="A158" s="25">
        <v>252</v>
      </c>
      <c r="B158" s="52" t="s">
        <v>243</v>
      </c>
      <c r="C158" s="52"/>
      <c r="D158" s="25" t="s">
        <v>244</v>
      </c>
      <c r="E158" s="25" t="s">
        <v>247</v>
      </c>
      <c r="F158" s="25"/>
    </row>
    <row r="159" spans="1:8" x14ac:dyDescent="0.25">
      <c r="A159" s="19"/>
      <c r="B159" s="19"/>
      <c r="C159" s="5"/>
      <c r="D159" s="19"/>
      <c r="E159" s="19"/>
      <c r="F159" s="5"/>
    </row>
    <row r="160" spans="1:8" x14ac:dyDescent="0.25">
      <c r="A160" s="19"/>
      <c r="B160" s="19"/>
      <c r="C160" s="5"/>
      <c r="D160" s="19"/>
      <c r="E160" s="19"/>
      <c r="F160" s="5"/>
    </row>
    <row r="161" spans="1:6" x14ac:dyDescent="0.25">
      <c r="A161" s="19"/>
      <c r="B161" s="19"/>
      <c r="C161" s="5"/>
      <c r="D161" s="19"/>
      <c r="E161" s="19"/>
      <c r="F161" s="5"/>
    </row>
    <row r="162" spans="1:6" x14ac:dyDescent="0.25">
      <c r="A162" s="19"/>
      <c r="B162" s="19"/>
      <c r="C162" s="5"/>
      <c r="D162" s="19"/>
      <c r="E162" s="19"/>
      <c r="F162" s="5"/>
    </row>
    <row r="163" spans="1:6" x14ac:dyDescent="0.25">
      <c r="A163" s="19"/>
      <c r="B163" s="19"/>
      <c r="C163" s="5"/>
      <c r="D163" s="19"/>
      <c r="E163" s="19"/>
      <c r="F163" s="5"/>
    </row>
    <row r="164" spans="1:6" x14ac:dyDescent="0.25">
      <c r="A164" s="19"/>
      <c r="B164" s="19"/>
      <c r="C164" s="5"/>
      <c r="D164" s="19"/>
      <c r="E164" s="19"/>
      <c r="F164" s="5"/>
    </row>
    <row r="165" spans="1:6" x14ac:dyDescent="0.25">
      <c r="A165" s="19"/>
      <c r="B165" s="19"/>
      <c r="C165" s="5"/>
      <c r="D165" s="19"/>
      <c r="E165" s="19"/>
      <c r="F165" s="5"/>
    </row>
    <row r="166" spans="1:6" x14ac:dyDescent="0.25">
      <c r="A166" s="19"/>
      <c r="B166" s="19"/>
      <c r="C166" s="5"/>
      <c r="D166" s="19"/>
      <c r="E166" s="19"/>
      <c r="F166" s="5"/>
    </row>
    <row r="167" spans="1:6" x14ac:dyDescent="0.25">
      <c r="A167" s="19"/>
      <c r="B167" s="19"/>
      <c r="C167" s="5"/>
      <c r="D167" s="19"/>
      <c r="E167" s="19"/>
      <c r="F167" s="5"/>
    </row>
    <row r="168" spans="1:6" x14ac:dyDescent="0.25">
      <c r="A168" s="19"/>
      <c r="B168" s="19"/>
      <c r="C168" s="5"/>
      <c r="D168" s="19"/>
      <c r="E168" s="19"/>
      <c r="F168" s="5"/>
    </row>
    <row r="169" spans="1:6" x14ac:dyDescent="0.25">
      <c r="A169" s="19"/>
      <c r="B169" s="19"/>
      <c r="C169" s="5"/>
      <c r="D169" s="19"/>
      <c r="E169" s="19"/>
      <c r="F169" s="5"/>
    </row>
    <row r="170" spans="1:6" x14ac:dyDescent="0.25">
      <c r="A170" s="19"/>
      <c r="B170" s="19"/>
      <c r="C170" s="5"/>
      <c r="D170" s="19"/>
      <c r="E170" s="19"/>
      <c r="F170" s="5"/>
    </row>
    <row r="171" spans="1:6" x14ac:dyDescent="0.25">
      <c r="A171" s="19"/>
      <c r="B171" s="19"/>
      <c r="C171" s="5"/>
      <c r="D171" s="19"/>
      <c r="E171" s="19"/>
      <c r="F171" s="5"/>
    </row>
    <row r="172" spans="1:6" x14ac:dyDescent="0.25">
      <c r="A172" s="19"/>
      <c r="B172" s="19"/>
      <c r="C172" s="5"/>
      <c r="D172" s="19"/>
      <c r="E172" s="19"/>
      <c r="F172" s="5"/>
    </row>
    <row r="173" spans="1:6" x14ac:dyDescent="0.25">
      <c r="A173" s="19"/>
      <c r="B173" s="19"/>
      <c r="C173" s="5"/>
      <c r="D173" s="19"/>
      <c r="E173" s="19"/>
      <c r="F173" s="5"/>
    </row>
    <row r="174" spans="1:6" x14ac:dyDescent="0.25">
      <c r="A174" s="19"/>
      <c r="B174" s="19"/>
      <c r="C174" s="5"/>
      <c r="D174" s="19"/>
      <c r="E174" s="19"/>
      <c r="F174" s="5"/>
    </row>
    <row r="175" spans="1:6" x14ac:dyDescent="0.25">
      <c r="A175" s="19"/>
      <c r="B175" s="19"/>
      <c r="C175" s="5"/>
      <c r="D175" s="19"/>
      <c r="E175" s="19"/>
      <c r="F175" s="5"/>
    </row>
    <row r="176" spans="1:6" x14ac:dyDescent="0.25">
      <c r="A176" s="53" t="s">
        <v>189</v>
      </c>
      <c r="B176" s="53"/>
      <c r="C176" s="53"/>
      <c r="D176" s="53"/>
      <c r="E176" s="53"/>
      <c r="F176" s="53"/>
    </row>
    <row r="177" spans="1:6" x14ac:dyDescent="0.25">
      <c r="A177" s="52" t="s">
        <v>95</v>
      </c>
      <c r="B177" s="52"/>
      <c r="C177" s="52"/>
      <c r="D177" s="26" t="s">
        <v>190</v>
      </c>
      <c r="E177" s="26" t="s">
        <v>191</v>
      </c>
      <c r="F177" s="25"/>
    </row>
    <row r="178" spans="1:6" x14ac:dyDescent="0.25">
      <c r="A178" s="54" t="s">
        <v>192</v>
      </c>
      <c r="B178" s="54"/>
      <c r="C178" s="55"/>
      <c r="D178" s="28" t="s">
        <v>188</v>
      </c>
      <c r="E178" s="19" t="s">
        <v>100</v>
      </c>
      <c r="F178" s="5"/>
    </row>
    <row r="179" spans="1:6" x14ac:dyDescent="0.25">
      <c r="A179" s="42" t="s">
        <v>193</v>
      </c>
      <c r="B179" s="42"/>
      <c r="C179" s="51"/>
      <c r="D179" s="29" t="s">
        <v>194</v>
      </c>
      <c r="E179" s="19" t="s">
        <v>99</v>
      </c>
      <c r="F179" s="5"/>
    </row>
    <row r="180" spans="1:6" x14ac:dyDescent="0.25">
      <c r="A180" s="42"/>
      <c r="B180" s="42"/>
      <c r="C180" s="51"/>
      <c r="D180" s="29" t="s">
        <v>195</v>
      </c>
      <c r="E180" s="19" t="s">
        <v>96</v>
      </c>
      <c r="F180" s="5"/>
    </row>
    <row r="181" spans="1:6" x14ac:dyDescent="0.25">
      <c r="A181" s="42"/>
      <c r="B181" s="42"/>
      <c r="C181" s="51"/>
      <c r="D181" s="29" t="s">
        <v>196</v>
      </c>
      <c r="E181" s="19" t="s">
        <v>185</v>
      </c>
      <c r="F181" s="5"/>
    </row>
    <row r="182" spans="1:6" x14ac:dyDescent="0.25">
      <c r="A182" s="42"/>
      <c r="B182" s="42"/>
      <c r="C182" s="51"/>
      <c r="D182" s="29" t="s">
        <v>197</v>
      </c>
      <c r="E182" s="19"/>
      <c r="F182" s="5"/>
    </row>
    <row r="183" spans="1:6" x14ac:dyDescent="0.25">
      <c r="A183" s="42"/>
      <c r="B183" s="42"/>
      <c r="C183" s="42"/>
      <c r="D183" s="19"/>
      <c r="E183" s="19"/>
      <c r="F183" s="5"/>
    </row>
    <row r="184" spans="1:6" x14ac:dyDescent="0.25">
      <c r="A184" s="42" t="s">
        <v>198</v>
      </c>
      <c r="B184" s="42"/>
      <c r="C184" s="51"/>
      <c r="D184" s="29" t="s">
        <v>199</v>
      </c>
      <c r="E184" s="19" t="s">
        <v>111</v>
      </c>
      <c r="F184" s="5"/>
    </row>
    <row r="185" spans="1:6" x14ac:dyDescent="0.25">
      <c r="A185" s="42" t="s">
        <v>128</v>
      </c>
      <c r="B185" s="42"/>
      <c r="C185" s="51"/>
      <c r="D185" s="29" t="s">
        <v>200</v>
      </c>
      <c r="E185" s="19"/>
      <c r="F185" s="5"/>
    </row>
    <row r="186" spans="1:6" x14ac:dyDescent="0.25">
      <c r="A186" s="42"/>
      <c r="B186" s="42"/>
      <c r="C186" s="51"/>
      <c r="D186" s="29" t="s">
        <v>201</v>
      </c>
      <c r="E186" s="19"/>
      <c r="F186" s="5"/>
    </row>
    <row r="187" spans="1:6" x14ac:dyDescent="0.25">
      <c r="A187" s="42"/>
      <c r="B187" s="42"/>
      <c r="C187" s="51"/>
      <c r="D187" s="29" t="s">
        <v>202</v>
      </c>
      <c r="E187" s="19"/>
      <c r="F187" s="5"/>
    </row>
    <row r="188" spans="1:6" x14ac:dyDescent="0.25">
      <c r="A188" s="42"/>
      <c r="B188" s="42"/>
      <c r="C188" s="42"/>
      <c r="D188" s="19"/>
      <c r="E188" s="19"/>
      <c r="F188" s="5"/>
    </row>
    <row r="189" spans="1:6" x14ac:dyDescent="0.25">
      <c r="A189" s="42" t="s">
        <v>203</v>
      </c>
      <c r="B189" s="42"/>
      <c r="C189" s="51"/>
      <c r="D189" s="30" t="s">
        <v>199</v>
      </c>
      <c r="E189" s="19" t="s">
        <v>124</v>
      </c>
      <c r="F189" s="5"/>
    </row>
    <row r="190" spans="1:6" x14ac:dyDescent="0.25">
      <c r="A190" s="42" t="s">
        <v>204</v>
      </c>
      <c r="B190" s="42"/>
      <c r="C190" s="51"/>
      <c r="D190" s="30"/>
      <c r="E190" s="19"/>
      <c r="F190" s="5"/>
    </row>
    <row r="191" spans="1:6" x14ac:dyDescent="0.25">
      <c r="A191" s="5"/>
      <c r="B191" s="5"/>
      <c r="C191" s="5"/>
      <c r="D191" s="19"/>
      <c r="E191" s="19"/>
      <c r="F191" s="5"/>
    </row>
    <row r="192" spans="1:6" x14ac:dyDescent="0.25">
      <c r="A192" s="42"/>
      <c r="B192" s="42"/>
      <c r="C192" s="42"/>
      <c r="D192" s="19"/>
      <c r="E192" s="19"/>
      <c r="F192" s="5"/>
    </row>
    <row r="193" spans="1:6" x14ac:dyDescent="0.25">
      <c r="A193" s="42" t="s">
        <v>203</v>
      </c>
      <c r="B193" s="42"/>
      <c r="C193" s="51"/>
      <c r="D193" s="30" t="s">
        <v>205</v>
      </c>
      <c r="E193" s="19" t="s">
        <v>128</v>
      </c>
      <c r="F193" s="5"/>
    </row>
    <row r="194" spans="1:6" x14ac:dyDescent="0.25">
      <c r="A194" s="42" t="s">
        <v>204</v>
      </c>
      <c r="B194" s="42"/>
      <c r="C194" s="51"/>
      <c r="D194" s="30"/>
      <c r="E194" s="19" t="s">
        <v>126</v>
      </c>
      <c r="F194" s="5"/>
    </row>
    <row r="195" spans="1:6" x14ac:dyDescent="0.25">
      <c r="A195" s="42"/>
      <c r="B195" s="42"/>
      <c r="C195" s="51"/>
      <c r="D195" s="30"/>
      <c r="E195" s="19" t="s">
        <v>127</v>
      </c>
      <c r="F195" s="5"/>
    </row>
    <row r="196" spans="1:6" x14ac:dyDescent="0.25">
      <c r="A196" s="42"/>
      <c r="B196" s="42"/>
      <c r="C196" s="51"/>
      <c r="D196" s="30"/>
      <c r="E196" s="19"/>
      <c r="F196" s="5"/>
    </row>
    <row r="197" spans="1:6" x14ac:dyDescent="0.25">
      <c r="A197" s="42"/>
      <c r="B197" s="42"/>
      <c r="C197" s="42"/>
      <c r="D197" s="19"/>
      <c r="E197" s="19"/>
      <c r="F197" s="5"/>
    </row>
    <row r="198" spans="1:6" x14ac:dyDescent="0.25">
      <c r="A198" s="42"/>
      <c r="B198" s="42"/>
      <c r="C198" s="42"/>
      <c r="D198" s="19"/>
      <c r="E198" s="19"/>
      <c r="F198" s="5"/>
    </row>
    <row r="199" spans="1:6" x14ac:dyDescent="0.25">
      <c r="A199" s="42" t="s">
        <v>206</v>
      </c>
      <c r="B199" s="42"/>
      <c r="C199" s="51"/>
      <c r="D199" s="29" t="s">
        <v>207</v>
      </c>
      <c r="E199" s="19" t="s">
        <v>132</v>
      </c>
      <c r="F199" s="5"/>
    </row>
    <row r="200" spans="1:6" x14ac:dyDescent="0.25">
      <c r="A200" s="42"/>
      <c r="B200" s="42"/>
      <c r="C200" s="51"/>
      <c r="D200" s="29" t="s">
        <v>194</v>
      </c>
      <c r="E200" s="19"/>
      <c r="F200" s="5"/>
    </row>
    <row r="201" spans="1:6" x14ac:dyDescent="0.25">
      <c r="A201" s="42"/>
      <c r="B201" s="42"/>
      <c r="C201" s="51"/>
      <c r="D201" s="29" t="s">
        <v>208</v>
      </c>
      <c r="E201" s="19"/>
      <c r="F201" s="5"/>
    </row>
    <row r="202" spans="1:6" x14ac:dyDescent="0.25">
      <c r="A202" s="42"/>
      <c r="B202" s="42"/>
      <c r="C202" s="51"/>
      <c r="D202" s="29" t="s">
        <v>209</v>
      </c>
      <c r="E202" s="19"/>
      <c r="F202" s="5"/>
    </row>
    <row r="203" spans="1:6" x14ac:dyDescent="0.25">
      <c r="A203" s="42"/>
      <c r="B203" s="42"/>
      <c r="C203" s="51"/>
      <c r="D203" s="29" t="s">
        <v>202</v>
      </c>
      <c r="E203" s="19"/>
      <c r="F203" s="5"/>
    </row>
    <row r="204" spans="1:6" x14ac:dyDescent="0.25">
      <c r="A204" s="42"/>
      <c r="B204" s="42"/>
      <c r="C204" s="42"/>
      <c r="D204" s="19"/>
      <c r="E204" s="19"/>
      <c r="F204" s="5"/>
    </row>
    <row r="205" spans="1:6" x14ac:dyDescent="0.25">
      <c r="A205" s="42" t="s">
        <v>210</v>
      </c>
      <c r="B205" s="42"/>
      <c r="C205" s="42"/>
      <c r="D205" s="19" t="s">
        <v>211</v>
      </c>
      <c r="E205" s="19" t="s">
        <v>145</v>
      </c>
      <c r="F205" s="5"/>
    </row>
    <row r="206" spans="1:6" x14ac:dyDescent="0.25">
      <c r="A206" s="42"/>
      <c r="B206" s="42"/>
      <c r="C206" s="42"/>
      <c r="D206" s="19" t="s">
        <v>194</v>
      </c>
      <c r="E206" s="19"/>
      <c r="F206" s="5"/>
    </row>
    <row r="207" spans="1:6" x14ac:dyDescent="0.25">
      <c r="A207" s="42"/>
      <c r="B207" s="42"/>
      <c r="C207" s="42"/>
      <c r="D207" s="19" t="s">
        <v>212</v>
      </c>
      <c r="E207" s="19"/>
      <c r="F207" s="5"/>
    </row>
    <row r="208" spans="1:6" x14ac:dyDescent="0.25">
      <c r="A208" s="42"/>
      <c r="B208" s="42"/>
      <c r="C208" s="42"/>
      <c r="D208" s="19" t="s">
        <v>202</v>
      </c>
      <c r="E208" s="19"/>
      <c r="F208" s="5"/>
    </row>
    <row r="209" spans="1:6" x14ac:dyDescent="0.25">
      <c r="A209" s="42"/>
      <c r="B209" s="42"/>
      <c r="C209" s="42"/>
      <c r="D209" s="19"/>
      <c r="E209" s="19"/>
      <c r="F209" s="5"/>
    </row>
    <row r="210" spans="1:6" x14ac:dyDescent="0.25">
      <c r="A210" s="42"/>
      <c r="B210" s="42"/>
      <c r="C210" s="42"/>
      <c r="D210" s="19"/>
      <c r="E210" s="19"/>
      <c r="F210" s="5"/>
    </row>
    <row r="211" spans="1:6" x14ac:dyDescent="0.25">
      <c r="A211" s="42"/>
      <c r="B211" s="42"/>
      <c r="C211" s="42"/>
      <c r="D211" s="19"/>
      <c r="E211" s="19"/>
      <c r="F211" s="5"/>
    </row>
    <row r="212" spans="1:6" x14ac:dyDescent="0.25">
      <c r="A212" s="42"/>
      <c r="B212" s="42"/>
      <c r="C212" s="42"/>
      <c r="D212" s="19"/>
      <c r="E212" s="19"/>
      <c r="F212" s="5"/>
    </row>
    <row r="213" spans="1:6" x14ac:dyDescent="0.25">
      <c r="A213" s="42"/>
      <c r="B213" s="42"/>
      <c r="C213" s="42"/>
      <c r="D213" s="19"/>
      <c r="E213" s="19"/>
      <c r="F213" s="5"/>
    </row>
    <row r="214" spans="1:6" x14ac:dyDescent="0.25">
      <c r="A214" s="42"/>
      <c r="B214" s="42"/>
      <c r="C214" s="42"/>
      <c r="D214" s="19"/>
      <c r="E214" s="19"/>
      <c r="F214" s="5"/>
    </row>
    <row r="215" spans="1:6" x14ac:dyDescent="0.25">
      <c r="A215" s="42"/>
      <c r="B215" s="42"/>
      <c r="C215" s="42"/>
      <c r="D215" s="19"/>
      <c r="E215" s="19"/>
      <c r="F215" s="5"/>
    </row>
    <row r="216" spans="1:6" x14ac:dyDescent="0.25">
      <c r="A216" s="42"/>
      <c r="B216" s="42"/>
      <c r="C216" s="42"/>
      <c r="D216" s="19"/>
      <c r="E216" s="19"/>
      <c r="F216" s="5"/>
    </row>
    <row r="217" spans="1:6" x14ac:dyDescent="0.25">
      <c r="A217" s="42"/>
      <c r="B217" s="42"/>
      <c r="C217" s="42"/>
      <c r="D217" s="19"/>
      <c r="E217" s="19"/>
      <c r="F217" s="5"/>
    </row>
    <row r="218" spans="1:6" x14ac:dyDescent="0.25">
      <c r="A218" s="42"/>
      <c r="B218" s="42"/>
      <c r="C218" s="42"/>
      <c r="D218" s="19"/>
      <c r="E218" s="19"/>
      <c r="F218" s="5"/>
    </row>
    <row r="219" spans="1:6" x14ac:dyDescent="0.25">
      <c r="A219" s="42"/>
      <c r="B219" s="42"/>
      <c r="C219" s="42"/>
      <c r="D219" s="19"/>
      <c r="E219" s="19"/>
      <c r="F219" s="5"/>
    </row>
    <row r="220" spans="1:6" x14ac:dyDescent="0.25">
      <c r="A220" s="42"/>
      <c r="B220" s="42"/>
      <c r="C220" s="42"/>
      <c r="D220" s="19"/>
      <c r="E220" s="19"/>
      <c r="F220" s="5"/>
    </row>
    <row r="221" spans="1:6" x14ac:dyDescent="0.25">
      <c r="A221" s="42"/>
      <c r="B221" s="42"/>
      <c r="C221" s="42"/>
      <c r="D221" s="19"/>
      <c r="E221" s="19"/>
      <c r="F221" s="5"/>
    </row>
    <row r="222" spans="1:6" x14ac:dyDescent="0.25">
      <c r="A222" s="42"/>
      <c r="B222" s="42"/>
      <c r="C222" s="42"/>
      <c r="D222" s="19"/>
      <c r="E222" s="19"/>
      <c r="F222" s="5"/>
    </row>
    <row r="223" spans="1:6" x14ac:dyDescent="0.25">
      <c r="A223" s="42"/>
      <c r="B223" s="42"/>
      <c r="C223" s="42"/>
      <c r="D223" s="19"/>
      <c r="E223" s="19"/>
      <c r="F223" s="5"/>
    </row>
    <row r="224" spans="1:6" x14ac:dyDescent="0.25">
      <c r="A224" s="42"/>
      <c r="B224" s="42"/>
      <c r="C224" s="42"/>
      <c r="D224" s="19"/>
      <c r="E224" s="19"/>
      <c r="F224" s="5"/>
    </row>
    <row r="225" spans="1:6" x14ac:dyDescent="0.25">
      <c r="A225" s="42"/>
      <c r="B225" s="42"/>
      <c r="C225" s="42"/>
      <c r="D225" s="19"/>
      <c r="E225" s="19"/>
      <c r="F225" s="5"/>
    </row>
    <row r="226" spans="1:6" x14ac:dyDescent="0.25">
      <c r="A226" s="42"/>
      <c r="B226" s="42"/>
      <c r="C226" s="42"/>
      <c r="D226" s="19"/>
      <c r="E226" s="19"/>
      <c r="F226" s="5"/>
    </row>
    <row r="227" spans="1:6" x14ac:dyDescent="0.25">
      <c r="A227" s="42"/>
      <c r="B227" s="42"/>
      <c r="C227" s="42"/>
      <c r="D227" s="19"/>
      <c r="E227" s="19"/>
      <c r="F227" s="5"/>
    </row>
    <row r="228" spans="1:6" x14ac:dyDescent="0.25">
      <c r="A228" s="42"/>
      <c r="B228" s="42"/>
      <c r="C228" s="42"/>
      <c r="D228" s="21" t="s">
        <v>215</v>
      </c>
      <c r="E228" s="42" t="s">
        <v>213</v>
      </c>
      <c r="F228" s="5"/>
    </row>
    <row r="229" spans="1:6" x14ac:dyDescent="0.25">
      <c r="A229" s="42"/>
      <c r="B229" s="42"/>
      <c r="C229" s="42"/>
      <c r="D229" s="21" t="s">
        <v>214</v>
      </c>
      <c r="E229" s="42"/>
      <c r="F229" s="5"/>
    </row>
    <row r="230" spans="1:6" x14ac:dyDescent="0.25">
      <c r="A230" s="42"/>
      <c r="B230" s="42"/>
      <c r="C230" s="42"/>
      <c r="D230" s="19"/>
      <c r="E230" s="19"/>
      <c r="F230" s="5"/>
    </row>
    <row r="231" spans="1:6" x14ac:dyDescent="0.25">
      <c r="A231" s="42"/>
      <c r="B231" s="42"/>
      <c r="C231" s="42"/>
      <c r="D231" s="19"/>
      <c r="E231" s="19"/>
      <c r="F231" s="5"/>
    </row>
    <row r="232" spans="1:6" x14ac:dyDescent="0.25">
      <c r="A232" s="42"/>
      <c r="B232" s="42"/>
      <c r="C232" s="42"/>
      <c r="D232" s="19"/>
      <c r="E232" s="19"/>
      <c r="F232" s="5"/>
    </row>
    <row r="233" spans="1:6" x14ac:dyDescent="0.25">
      <c r="A233" s="42"/>
      <c r="B233" s="42"/>
      <c r="C233" s="42"/>
      <c r="D233" s="19"/>
      <c r="E233" s="19"/>
      <c r="F233" s="5"/>
    </row>
  </sheetData>
  <sortState xmlns:xlrd2="http://schemas.microsoft.com/office/spreadsheetml/2017/richdata2" ref="C122:F138">
    <sortCondition ref="E122:E138"/>
  </sortState>
  <mergeCells count="190">
    <mergeCell ref="A62:A63"/>
    <mergeCell ref="D43:E43"/>
    <mergeCell ref="D109:E109"/>
    <mergeCell ref="E98:F98"/>
    <mergeCell ref="E99:F99"/>
    <mergeCell ref="E80:F80"/>
    <mergeCell ref="E81:F81"/>
    <mergeCell ref="E82:F82"/>
    <mergeCell ref="E83:F83"/>
    <mergeCell ref="E84:F84"/>
    <mergeCell ref="E86:F86"/>
    <mergeCell ref="E85:F85"/>
    <mergeCell ref="E90:F90"/>
    <mergeCell ref="E87:F87"/>
    <mergeCell ref="E88:F88"/>
    <mergeCell ref="E89:F89"/>
    <mergeCell ref="E91:F91"/>
    <mergeCell ref="E92:F92"/>
    <mergeCell ref="E93:F93"/>
    <mergeCell ref="E94:F94"/>
    <mergeCell ref="E95:F95"/>
    <mergeCell ref="A67:C67"/>
    <mergeCell ref="D49:E56"/>
    <mergeCell ref="D5:F5"/>
    <mergeCell ref="A1:C1"/>
    <mergeCell ref="A3:C3"/>
    <mergeCell ref="A10:C10"/>
    <mergeCell ref="A17:C17"/>
    <mergeCell ref="A33:C33"/>
    <mergeCell ref="A2:F2"/>
    <mergeCell ref="A27:C31"/>
    <mergeCell ref="D41:E41"/>
    <mergeCell ref="D42:E42"/>
    <mergeCell ref="D44:E44"/>
    <mergeCell ref="D24:F24"/>
    <mergeCell ref="D3:F3"/>
    <mergeCell ref="D4:F4"/>
    <mergeCell ref="D40:E40"/>
    <mergeCell ref="D17:F17"/>
    <mergeCell ref="D25:F25"/>
    <mergeCell ref="A59:C59"/>
    <mergeCell ref="A65:C65"/>
    <mergeCell ref="A66:C66"/>
    <mergeCell ref="D72:F72"/>
    <mergeCell ref="D74:F74"/>
    <mergeCell ref="D75:F75"/>
    <mergeCell ref="D76:F76"/>
    <mergeCell ref="D70:F70"/>
    <mergeCell ref="D6:F6"/>
    <mergeCell ref="D22:F22"/>
    <mergeCell ref="D23:F23"/>
    <mergeCell ref="D27:F29"/>
    <mergeCell ref="D30:F30"/>
    <mergeCell ref="D31:F31"/>
    <mergeCell ref="E62:F62"/>
    <mergeCell ref="E63:F63"/>
    <mergeCell ref="D65:F67"/>
    <mergeCell ref="D71:F71"/>
    <mergeCell ref="A74:C76"/>
    <mergeCell ref="D8:F9"/>
    <mergeCell ref="A69:C69"/>
    <mergeCell ref="D45:E45"/>
    <mergeCell ref="D47:E47"/>
    <mergeCell ref="D46:E46"/>
    <mergeCell ref="A102:C108"/>
    <mergeCell ref="A109:C112"/>
    <mergeCell ref="A113:C115"/>
    <mergeCell ref="A116:C119"/>
    <mergeCell ref="D115:F115"/>
    <mergeCell ref="D116:F116"/>
    <mergeCell ref="D117:F117"/>
    <mergeCell ref="D118:F118"/>
    <mergeCell ref="D119:F119"/>
    <mergeCell ref="D110:F110"/>
    <mergeCell ref="D111:F111"/>
    <mergeCell ref="D112:F112"/>
    <mergeCell ref="D113:F113"/>
    <mergeCell ref="D114:F114"/>
    <mergeCell ref="D102:F102"/>
    <mergeCell ref="D103:F103"/>
    <mergeCell ref="D104:F104"/>
    <mergeCell ref="D105:F105"/>
    <mergeCell ref="D106:F106"/>
    <mergeCell ref="D107:F107"/>
    <mergeCell ref="D108:F108"/>
    <mergeCell ref="B139:C139"/>
    <mergeCell ref="B132:C132"/>
    <mergeCell ref="E96:F96"/>
    <mergeCell ref="E97:F97"/>
    <mergeCell ref="B133:C133"/>
    <mergeCell ref="B134:C134"/>
    <mergeCell ref="B135:C135"/>
    <mergeCell ref="B136:C136"/>
    <mergeCell ref="B137:C137"/>
    <mergeCell ref="A120:F120"/>
    <mergeCell ref="E100:F100"/>
    <mergeCell ref="E101:F101"/>
    <mergeCell ref="A78:C78"/>
    <mergeCell ref="A80:C80"/>
    <mergeCell ref="B144:C144"/>
    <mergeCell ref="B145:C145"/>
    <mergeCell ref="B146:C146"/>
    <mergeCell ref="B147:C147"/>
    <mergeCell ref="B148:C148"/>
    <mergeCell ref="B138:C138"/>
    <mergeCell ref="B140:C140"/>
    <mergeCell ref="B141:C141"/>
    <mergeCell ref="B142:C142"/>
    <mergeCell ref="B143:C143"/>
    <mergeCell ref="B121:C121"/>
    <mergeCell ref="B122:C122"/>
    <mergeCell ref="B123:C123"/>
    <mergeCell ref="B124:C124"/>
    <mergeCell ref="B125:C125"/>
    <mergeCell ref="B126:C126"/>
    <mergeCell ref="B127:C127"/>
    <mergeCell ref="B128:C128"/>
    <mergeCell ref="B129:C129"/>
    <mergeCell ref="B130:C130"/>
    <mergeCell ref="B131:C131"/>
    <mergeCell ref="B154:C154"/>
    <mergeCell ref="A176:F176"/>
    <mergeCell ref="A178:C178"/>
    <mergeCell ref="A177:C177"/>
    <mergeCell ref="A179:C179"/>
    <mergeCell ref="B149:C149"/>
    <mergeCell ref="B150:C150"/>
    <mergeCell ref="B151:C151"/>
    <mergeCell ref="B152:C152"/>
    <mergeCell ref="B153:C153"/>
    <mergeCell ref="B155:C155"/>
    <mergeCell ref="B156:C156"/>
    <mergeCell ref="B157:C157"/>
    <mergeCell ref="B158:C158"/>
    <mergeCell ref="A185:C185"/>
    <mergeCell ref="A186:C186"/>
    <mergeCell ref="A187:C187"/>
    <mergeCell ref="A188:C188"/>
    <mergeCell ref="A189:C189"/>
    <mergeCell ref="A180:C180"/>
    <mergeCell ref="A181:C181"/>
    <mergeCell ref="A182:C182"/>
    <mergeCell ref="A183:C183"/>
    <mergeCell ref="A184:C184"/>
    <mergeCell ref="A196:C196"/>
    <mergeCell ref="A197:C197"/>
    <mergeCell ref="A198:C198"/>
    <mergeCell ref="A199:C199"/>
    <mergeCell ref="A200:C200"/>
    <mergeCell ref="A190:C190"/>
    <mergeCell ref="A192:C192"/>
    <mergeCell ref="A193:C193"/>
    <mergeCell ref="A194:C194"/>
    <mergeCell ref="A195:C195"/>
    <mergeCell ref="A214:C214"/>
    <mergeCell ref="A215:C215"/>
    <mergeCell ref="A206:C206"/>
    <mergeCell ref="A207:C207"/>
    <mergeCell ref="A208:C208"/>
    <mergeCell ref="A209:C209"/>
    <mergeCell ref="A210:C210"/>
    <mergeCell ref="A201:C201"/>
    <mergeCell ref="A202:C202"/>
    <mergeCell ref="A203:C203"/>
    <mergeCell ref="A204:C204"/>
    <mergeCell ref="A205:C205"/>
    <mergeCell ref="A231:C231"/>
    <mergeCell ref="A232:C232"/>
    <mergeCell ref="A233:C233"/>
    <mergeCell ref="E228:E229"/>
    <mergeCell ref="A8:C9"/>
    <mergeCell ref="D69:E69"/>
    <mergeCell ref="A226:C226"/>
    <mergeCell ref="A227:C227"/>
    <mergeCell ref="A228:C228"/>
    <mergeCell ref="A229:C229"/>
    <mergeCell ref="A230:C230"/>
    <mergeCell ref="A221:C221"/>
    <mergeCell ref="A222:C222"/>
    <mergeCell ref="A223:C223"/>
    <mergeCell ref="A224:C224"/>
    <mergeCell ref="A225:C225"/>
    <mergeCell ref="A216:C216"/>
    <mergeCell ref="A217:C217"/>
    <mergeCell ref="A218:C218"/>
    <mergeCell ref="A219:C219"/>
    <mergeCell ref="A220:C220"/>
    <mergeCell ref="A211:C211"/>
    <mergeCell ref="A212:C212"/>
    <mergeCell ref="A213:C213"/>
  </mergeCells>
  <phoneticPr fontId="4" type="noConversion"/>
  <pageMargins left="0.7" right="0.7" top="0.75" bottom="0.75" header="0.3" footer="0.3"/>
  <pageSetup paperSize="9" scale="95" orientation="portrait" r:id="rId1"/>
  <rowBreaks count="3" manualBreakCount="3">
    <brk id="58" max="5" man="1"/>
    <brk id="119" max="5" man="1"/>
    <brk id="175" max="5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97C2D-F1F2-4A42-8246-FAAA6BD9533F}">
  <dimension ref="A1:D37"/>
  <sheetViews>
    <sheetView workbookViewId="0">
      <selection activeCell="B6" sqref="B6"/>
    </sheetView>
  </sheetViews>
  <sheetFormatPr defaultRowHeight="15" x14ac:dyDescent="0.25"/>
  <cols>
    <col min="1" max="1" width="15.28515625" bestFit="1" customWidth="1"/>
    <col min="2" max="2" width="7.7109375" bestFit="1" customWidth="1"/>
    <col min="3" max="3" width="4.140625" bestFit="1" customWidth="1"/>
    <col min="4" max="4" width="4.28515625" bestFit="1" customWidth="1"/>
  </cols>
  <sheetData>
    <row r="1" spans="1:4" ht="21" x14ac:dyDescent="0.35">
      <c r="A1" s="33" t="s">
        <v>224</v>
      </c>
      <c r="B1" s="33" t="s">
        <v>229</v>
      </c>
      <c r="C1" s="33" t="s">
        <v>230</v>
      </c>
      <c r="D1" s="33" t="s">
        <v>231</v>
      </c>
    </row>
    <row r="2" spans="1:4" x14ac:dyDescent="0.25">
      <c r="A2" s="34" t="s">
        <v>223</v>
      </c>
      <c r="B2" s="34" t="s">
        <v>227</v>
      </c>
      <c r="C2" s="34"/>
      <c r="D2" s="34"/>
    </row>
    <row r="3" spans="1:4" x14ac:dyDescent="0.25">
      <c r="A3" s="34" t="s">
        <v>223</v>
      </c>
      <c r="B3" s="34" t="s">
        <v>228</v>
      </c>
      <c r="C3" s="34"/>
      <c r="D3" s="34"/>
    </row>
    <row r="4" spans="1:4" x14ac:dyDescent="0.25">
      <c r="A4" s="34" t="s">
        <v>223</v>
      </c>
      <c r="B4" s="34" t="s">
        <v>225</v>
      </c>
      <c r="C4" s="34"/>
      <c r="D4" s="34"/>
    </row>
    <row r="5" spans="1:4" x14ac:dyDescent="0.25">
      <c r="A5" s="34" t="s">
        <v>223</v>
      </c>
      <c r="B5" s="34" t="s">
        <v>226</v>
      </c>
      <c r="C5" s="34"/>
      <c r="D5" s="34"/>
    </row>
    <row r="6" spans="1:4" x14ac:dyDescent="0.25">
      <c r="A6" s="34" t="s">
        <v>223</v>
      </c>
      <c r="B6" s="34"/>
      <c r="C6" s="34"/>
      <c r="D6" s="34"/>
    </row>
    <row r="7" spans="1:4" x14ac:dyDescent="0.25">
      <c r="A7" s="34" t="s">
        <v>223</v>
      </c>
      <c r="B7" s="34"/>
      <c r="C7" s="34"/>
      <c r="D7" s="34"/>
    </row>
    <row r="8" spans="1:4" x14ac:dyDescent="0.25">
      <c r="A8" s="34" t="s">
        <v>223</v>
      </c>
      <c r="B8" s="34"/>
      <c r="C8" s="34"/>
      <c r="D8" s="34"/>
    </row>
    <row r="9" spans="1:4" x14ac:dyDescent="0.25">
      <c r="A9" s="34" t="s">
        <v>223</v>
      </c>
      <c r="B9" s="34"/>
      <c r="C9" s="34"/>
      <c r="D9" s="34"/>
    </row>
    <row r="10" spans="1:4" x14ac:dyDescent="0.25">
      <c r="A10" s="34" t="s">
        <v>223</v>
      </c>
      <c r="B10" s="34"/>
      <c r="C10" s="34"/>
      <c r="D10" s="34"/>
    </row>
    <row r="11" spans="1:4" x14ac:dyDescent="0.25">
      <c r="A11" s="34" t="s">
        <v>223</v>
      </c>
      <c r="B11" s="34"/>
      <c r="C11" s="34"/>
      <c r="D11" s="34"/>
    </row>
    <row r="12" spans="1:4" x14ac:dyDescent="0.25">
      <c r="A12" s="34" t="s">
        <v>223</v>
      </c>
      <c r="B12" s="34"/>
      <c r="C12" s="34"/>
      <c r="D12" s="34"/>
    </row>
    <row r="13" spans="1:4" x14ac:dyDescent="0.25">
      <c r="A13" s="34" t="s">
        <v>223</v>
      </c>
      <c r="B13" s="34"/>
      <c r="C13" s="34"/>
      <c r="D13" s="34"/>
    </row>
    <row r="14" spans="1:4" x14ac:dyDescent="0.25">
      <c r="A14" s="34" t="s">
        <v>223</v>
      </c>
      <c r="B14" s="34"/>
      <c r="C14" s="34"/>
      <c r="D14" s="34"/>
    </row>
    <row r="15" spans="1:4" x14ac:dyDescent="0.25">
      <c r="A15" s="34" t="s">
        <v>223</v>
      </c>
      <c r="B15" s="34"/>
      <c r="C15" s="34"/>
      <c r="D15" s="34"/>
    </row>
    <row r="16" spans="1:4" x14ac:dyDescent="0.25">
      <c r="A16" s="34" t="s">
        <v>223</v>
      </c>
      <c r="B16" s="34"/>
      <c r="C16" s="34"/>
      <c r="D16" s="34"/>
    </row>
    <row r="17" spans="1:4" x14ac:dyDescent="0.25">
      <c r="A17" s="34" t="s">
        <v>223</v>
      </c>
      <c r="B17" s="34"/>
      <c r="C17" s="34"/>
      <c r="D17" s="34"/>
    </row>
    <row r="18" spans="1:4" x14ac:dyDescent="0.25">
      <c r="A18" s="34" t="s">
        <v>223</v>
      </c>
      <c r="B18" s="34"/>
      <c r="C18" s="34"/>
      <c r="D18" s="34"/>
    </row>
    <row r="19" spans="1:4" x14ac:dyDescent="0.25">
      <c r="A19" s="34" t="s">
        <v>223</v>
      </c>
      <c r="B19" s="34"/>
      <c r="C19" s="34"/>
      <c r="D19" s="34"/>
    </row>
    <row r="20" spans="1:4" x14ac:dyDescent="0.25">
      <c r="A20" s="34" t="s">
        <v>223</v>
      </c>
      <c r="B20" s="34"/>
      <c r="C20" s="34"/>
      <c r="D20" s="34"/>
    </row>
    <row r="21" spans="1:4" x14ac:dyDescent="0.25">
      <c r="A21" s="34" t="s">
        <v>223</v>
      </c>
      <c r="B21" s="34"/>
      <c r="C21" s="34"/>
      <c r="D21" s="34"/>
    </row>
    <row r="22" spans="1:4" x14ac:dyDescent="0.25">
      <c r="A22" s="34"/>
      <c r="B22" s="34"/>
      <c r="C22" s="34"/>
      <c r="D22" s="34"/>
    </row>
    <row r="23" spans="1:4" x14ac:dyDescent="0.25">
      <c r="A23" s="34"/>
      <c r="B23" s="34"/>
      <c r="C23" s="34"/>
      <c r="D23" s="34"/>
    </row>
    <row r="24" spans="1:4" x14ac:dyDescent="0.25">
      <c r="A24" s="34"/>
      <c r="B24" s="34"/>
      <c r="C24" s="34"/>
      <c r="D24" s="34"/>
    </row>
    <row r="25" spans="1:4" x14ac:dyDescent="0.25">
      <c r="A25" s="34"/>
      <c r="B25" s="34"/>
      <c r="C25" s="34"/>
      <c r="D25" s="34"/>
    </row>
    <row r="26" spans="1:4" x14ac:dyDescent="0.25">
      <c r="A26" s="34"/>
      <c r="B26" s="34"/>
      <c r="C26" s="34"/>
      <c r="D26" s="34"/>
    </row>
    <row r="27" spans="1:4" x14ac:dyDescent="0.25">
      <c r="A27" s="34"/>
      <c r="B27" s="34"/>
      <c r="C27" s="34"/>
      <c r="D27" s="34"/>
    </row>
    <row r="28" spans="1:4" x14ac:dyDescent="0.25">
      <c r="A28" s="34"/>
      <c r="B28" s="34"/>
      <c r="C28" s="34"/>
      <c r="D28" s="34"/>
    </row>
    <row r="29" spans="1:4" x14ac:dyDescent="0.25">
      <c r="A29" s="34"/>
      <c r="B29" s="34"/>
      <c r="C29" s="34"/>
      <c r="D29" s="34"/>
    </row>
    <row r="30" spans="1:4" x14ac:dyDescent="0.25">
      <c r="A30" s="34"/>
      <c r="B30" s="34"/>
      <c r="C30" s="34"/>
      <c r="D30" s="34"/>
    </row>
    <row r="31" spans="1:4" x14ac:dyDescent="0.25">
      <c r="A31" s="34"/>
      <c r="B31" s="34"/>
      <c r="C31" s="34"/>
      <c r="D31" s="34"/>
    </row>
    <row r="32" spans="1:4" x14ac:dyDescent="0.25">
      <c r="A32" s="34"/>
      <c r="B32" s="34"/>
      <c r="C32" s="34"/>
      <c r="D32" s="34"/>
    </row>
    <row r="33" spans="1:4" x14ac:dyDescent="0.25">
      <c r="A33" s="34"/>
      <c r="B33" s="34"/>
      <c r="C33" s="34"/>
      <c r="D33" s="34"/>
    </row>
    <row r="34" spans="1:4" x14ac:dyDescent="0.25">
      <c r="A34" s="34"/>
      <c r="B34" s="34"/>
      <c r="C34" s="34"/>
      <c r="D34" s="34"/>
    </row>
    <row r="35" spans="1:4" x14ac:dyDescent="0.25">
      <c r="A35" s="34"/>
      <c r="B35" s="34"/>
      <c r="C35" s="34"/>
      <c r="D35" s="34"/>
    </row>
    <row r="36" spans="1:4" x14ac:dyDescent="0.25">
      <c r="A36" s="34"/>
      <c r="B36" s="34"/>
      <c r="C36" s="34"/>
      <c r="D36" s="34"/>
    </row>
    <row r="37" spans="1:4" x14ac:dyDescent="0.25">
      <c r="A37" s="34"/>
      <c r="B37" s="34"/>
      <c r="C37" s="34"/>
      <c r="D37" s="34"/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3</vt:i4>
      </vt:variant>
      <vt:variant>
        <vt:lpstr>Intervalos com Nome</vt:lpstr>
      </vt:variant>
      <vt:variant>
        <vt:i4>1</vt:i4>
      </vt:variant>
    </vt:vector>
  </HeadingPairs>
  <TitlesOfParts>
    <vt:vector size="4" baseType="lpstr">
      <vt:lpstr>Contas</vt:lpstr>
      <vt:lpstr>Notas</vt:lpstr>
      <vt:lpstr>Folha1</vt:lpstr>
      <vt:lpstr>Notas!Área_de_Impressão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Batista</dc:creator>
  <cp:lastModifiedBy>Paulo Batista</cp:lastModifiedBy>
  <cp:lastPrinted>2026-01-26T17:25:21Z</cp:lastPrinted>
  <dcterms:created xsi:type="dcterms:W3CDTF">2015-06-05T18:17:20Z</dcterms:created>
  <dcterms:modified xsi:type="dcterms:W3CDTF">2026-02-20T17:55:19Z</dcterms:modified>
</cp:coreProperties>
</file>